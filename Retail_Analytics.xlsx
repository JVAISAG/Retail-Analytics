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070e5ce3745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24f7b70e57049bd"/>
    <x:sheet xmlns:r="http://schemas.openxmlformats.org/officeDocument/2006/relationships" name="Monthly" sheetId="2" r:id="Ra5da8deca4ac47d0"/>
    <x:sheet xmlns:r="http://schemas.openxmlformats.org/officeDocument/2006/relationships" name="Customers" sheetId="3" r:id="Rffcddf5d2e334a54"/>
    <x:sheet xmlns:r="http://schemas.openxmlformats.org/officeDocument/2006/relationships" name="Cohorts" sheetId="4" r:id="Rc128b16ed01247b7"/>
    <x:sheet xmlns:r="http://schemas.openxmlformats.org/officeDocument/2006/relationships" name="Quality" sheetId="5" r:id="R03748fd33674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m yyyy"/>
    <x:numFmt numFmtId="201" formatCode="&quot;£&quot;#,##0.00;[Red](&quot;£&quot;#,##0.00);&quot;£&quot;0.00"/>
    <x:numFmt numFmtId="202" formatCode="#,##0"/>
    <x:numFmt numFmtId="203" formatCode="0.0%"/>
    <x:numFmt numFmtId="204" formatCode="&quot;£&quot;#,##0;[Red](&quot;£&quot;#,##0);&quot;£&quot;0"/>
    <x:numFmt numFmtId="205" formatCode="0.00%"/>
    <x:numFmt numFmtId="206" formatCode="0.00E+00"/>
    <x:numFmt numFmtId="207" formatCode="0%"/>
    <x:numFmt numFmtId="208" formatCode="dd mmm yyyy"/>
  </x:numFmts>
  <x:fonts count="7">
    <x:font>
      <x:sz val="11"/>
      <x:name val="Carlito"/>
    </x:font>
    <x:font>
      <x:sz val="10"/>
      <x:color rgb="FF182D3B"/>
      <x:name val="Arial"/>
    </x:font>
    <x:font>
      <x:b/>
      <x:sz val="16"/>
      <x:color rgb="FF182D3B"/>
      <x:name val="Arial"/>
    </x:font>
    <x:font>
      <x:i/>
      <x:sz val="10"/>
      <x:color rgb="FF5B6E7C"/>
      <x:name val="Arial"/>
    </x:font>
    <x:font>
      <x:b/>
      <x:sz val="10"/>
      <x:color rgb="FFFFFFFF"/>
      <x:name val="Arial"/>
    </x:font>
    <x:font>
      <x:b/>
      <x:sz val="12"/>
      <x:color rgb="FF182D3B"/>
      <x:name val="Arial"/>
    </x:font>
    <x:font>
      <x:sz val="10"/>
      <x:color rgb="FF5B6E7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1F5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4" fontId="1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horizontal="right" vertical="center"/>
    </x:xf>
    <x:xf numFmtId="204" fontId="0" fillId="0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FFFFFF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e39b31128465f" /><Relationship Type="http://schemas.openxmlformats.org/officeDocument/2006/relationships/theme" Target="/xl/theme/theme1.xml" Id="R408e789df8584a7e" /><Relationship Type="http://schemas.openxmlformats.org/officeDocument/2006/relationships/sharedStrings" Target="/xl/sharedStrings.xml" Id="R0f90e409b8fe452e" /><Relationship Type="http://schemas.openxmlformats.org/officeDocument/2006/relationships/worksheet" Target="/xl/worksheets/sheet1.xml" Id="R024f7b70e57049bd" /><Relationship Type="http://schemas.openxmlformats.org/officeDocument/2006/relationships/worksheet" Target="/xl/worksheets/sheet2.xml" Id="Ra5da8deca4ac47d0" /><Relationship Type="http://schemas.openxmlformats.org/officeDocument/2006/relationships/worksheet" Target="/xl/worksheets/sheet3.xml" Id="Rffcddf5d2e334a54" /><Relationship Type="http://schemas.openxmlformats.org/officeDocument/2006/relationships/worksheet" Target="/xl/worksheets/sheet4.xml" Id="Rc128b16ed01247b7" /><Relationship Type="http://schemas.openxmlformats.org/officeDocument/2006/relationships/worksheet" Target="/xl/worksheets/sheet5.xml" Id="R03748fd336744d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68d7778f1f4ec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merchandise sales (GBP)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Gross sales</c:v>
          </c:tx>
          <c:spPr>
            <a:ln xmlns:a="http://schemas.openxmlformats.org/drawingml/2006/main" w="19050">
              <a:solidFill>
                <a:srgbClr val="2155CD"/>
              </a:solidFill>
              <a:prstDash val="solid"/>
            </a:ln>
          </c:spPr>
          <c:marker>
            <c:symbol val="none"/>
          </c:marker>
          <c:cat>
            <c:strRef>
              <c:f>'Monthly'!$K$5:$K$29</c:f>
              <c:strCache>
                <c:ptCount val="0"/>
              </c:strCache>
            </c:strRef>
          </c:cat>
          <c:val>
            <c:numRef>
              <c:f>'Monthly'!$L$5:$L$29</c:f>
              <c:numCache>
                <c:formatCode>"£"#,##0;[Red]("£"#,##0);"£"0</c:formatCode>
                <c:ptCount val="0"/>
              </c:numCache>
            </c:numRef>
          </c:val>
          <c:smooth val="0"/>
        </c:ser>
        <c:ser>
          <c:idx val="1"/>
          <c:order val="1"/>
          <c:tx>
            <c:v>Net sales</c:v>
          </c:tx>
          <c:spPr>
            <a:ln xmlns:a="http://schemas.openxmlformats.org/drawingml/2006/main" w="19050">
              <a:solidFill>
                <a:srgbClr val="137B70"/>
              </a:solidFill>
              <a:prstDash val="solid"/>
            </a:ln>
          </c:spPr>
          <c:marker>
            <c:symbol val="none"/>
          </c:marker>
          <c:cat>
            <c:strRef>
              <c:f>'Monthly'!$K$5:$K$29</c:f>
              <c:strCache>
                <c:ptCount val="0"/>
              </c:strCache>
            </c:strRef>
          </c:cat>
          <c:val>
            <c:numRef>
              <c:f>'Monthly'!$M$5:$M$29</c:f>
              <c:numCache>
                <c:formatCode>"£"#,##0;[Red]("£"#,##0);"£"0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68d7778f1f4e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Sales" displayName="MonthlySales" ref="A4:I29" headerRowCount="1" totalsRowCount="0" totalsRowShown="0">
  <x:tableColumns count="9">
    <x:tableColumn id="1" name="Month"/>
    <x:tableColumn id="2" name="Gross sales GBP"/>
    <x:tableColumn id="3" name="Returns GBP"/>
    <x:tableColumn id="4" name="Net sales GBP"/>
    <x:tableColumn id="5" name="Orders"/>
    <x:tableColumn id="6" name="Identified buyers"/>
    <x:tableColumn id="7" name="Gross AOV GBP"/>
    <x:tableColumn id="8" name="Net MoM growth"/>
    <x:tableColumn id="9" name="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Segments" displayName="CustomerSegments" ref="A4:G10" headerRowCount="1" totalsRowCount="0" totalsRowShown="0">
  <x:tableColumns count="7">
    <x:tableColumn id="1" name="Segment"/>
    <x:tableColumn id="2" name="Buyers"/>
    <x:tableColumn id="3" name="Gross sales GBP"/>
    <x:tableColumn id="4" name="Orders"/>
    <x:tableColumn id="5" name="Buyer share"/>
    <x:tableColumn id="6" name="Sales share"/>
    <x:tableColumn id="7" name="Gross AOV GB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ef9d7e20d043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6c2ba3dfec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1524f5fb29403a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38" hidden="0" customWidth="1"/>
    <x:col min="4" max="4" width="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Retail sales and customer retention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2009-12-01 to 2011-12-09. GBP. Final month partial.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0" customHeight="1">
      <x:c r="A5" s="8" t="str">
        <x:v>Metric</x:v>
      </x:c>
      <x:c r="B5" s="8" t="str">
        <x:v>Result</x:v>
      </x:c>
      <x:c r="C5" s="8" t="str">
        <x:v>Basis</x:v>
      </x:c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Gross sales</x:v>
      </x:c>
      <x:c r="B6" s="27" t="n">
        <x:f>SUM('Monthly'!B5:B29)</x:f>
        <x:v>19642692.15</x:v>
      </x:c>
      <x:c r="C6" s="2" t="str">
        <x:v>Positive merchandise lines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0" t="str">
        <x:v>Returns</x:v>
      </x:c>
      <x:c r="B7" s="31" t="n">
        <x:f>SUM('Monthly'!C5:C29)</x:f>
        <x:v>716425.97</x:v>
      </x:c>
      <x:c r="C7" s="20" t="str">
        <x:v>Negative lines, absolute value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Net sales</x:v>
      </x:c>
      <x:c r="B8" s="27" t="n">
        <x:f>SUM('Monthly'!D5:D29)</x:f>
        <x:v>18926266.179999996</x:v>
      </x:c>
      <x:c r="C8" s="2" t="str">
        <x:v>Gross sales minus returns</x:v>
      </x:c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0" t="str">
        <x:v>Orders</x:v>
      </x:c>
      <x:c r="B9" s="18" t="n">
        <x:f>SUM('Monthly'!E5:E29)</x:f>
        <x:v>39516</x:v>
      </x:c>
      <x:c r="C9" s="20" t="str">
        <x:v>Distinct sale invoices</x:v>
      </x:c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 t="str">
        <x:v>Gross order value</x:v>
      </x:c>
      <x:c r="B10" s="11" t="n">
        <x:f>B6/B9</x:f>
        <x:v>497.08199590039476</x:v>
      </x:c>
      <x:c r="C10" s="2" t="str">
        <x:v>Gross sales per order</x:v>
      </x:c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0" t="str">
        <x:v>Identified buyers</x:v>
      </x:c>
      <x:c r="B11" s="18" t="n">
        <x:f>'Customers'!B30</x:f>
        <x:v>5852</x:v>
      </x:c>
      <x:c r="C11" s="20" t="str">
        <x:v>Whole-period unique buyers</x:v>
      </x:c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 t="str">
        <x:v>Observed repeat rate</x:v>
      </x:c>
      <x:c r="B12" s="15" t="n">
        <x:f>'Customers'!B32</x:f>
        <x:v>0.7235133287764867</x:v>
      </x:c>
      <x:c r="C12" s="2" t="str">
        <x:v>At least two sale invoices</x:v>
      </x:c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0" t="str">
        <x:v>Anonymous sales share</x:v>
      </x:c>
      <x:c r="B13" s="19" t="n">
        <x:f>'Customers'!B33/B6</x:f>
        <x:v>0.13104742264160568</x:v>
      </x:c>
      <x:c r="C13" s="20" t="str">
        <x:v>Sales without a customer ID</x:v>
      </x:c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30" customHeight="1">
      <x:c r="A17" s="8" t="str">
        <x:v>90-day study</x:v>
      </x:c>
      <x:c r="B17" s="8" t="str">
        <x:v>Repeat rate</x:v>
      </x:c>
      <x:c r="C17" s="8" t="str">
        <x:v>95% interval</x:v>
      </x:c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 t="str">
        <x:v>Above-median first order</x:v>
      </x:c>
      <x:c r="B18" s="15" t="n">
        <x:f>'Customers'!D17</x:f>
        <x:v>0.526255707762557</x:v>
      </x:c>
      <x:c r="C18" s="2" t="str">
        <x:v>50.7% to 54.5%</x:v>
      </x:c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 t="str">
        <x:v>At/below-median first order</x:v>
      </x:c>
      <x:c r="B19" s="15" t="n">
        <x:f>'Customers'!D18</x:f>
        <x:v>0.4041095890410959</x:v>
      </x:c>
      <x:c r="C19" s="2" t="str">
        <x:v>38.6% to 42.3%</x:v>
      </x:c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 t="str">
        <x:v>Difference</x:v>
      </x:c>
      <x:c r="B20" s="15" t="n">
        <x:f>'Customers'!B21</x:f>
        <x:v>0.12214611872146114</x:v>
      </x:c>
      <x:c r="C20" s="2" t="str">
        <x:v>9.54 to 14.89 pp</x:v>
      </x:c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30" customHeight="1">
      <x:c r="A24" s="8" t="str">
        <x:v>Review priority</x:v>
      </x:c>
      <x:c r="B24" s="8" t="str">
        <x:v>Population</x:v>
      </x:c>
      <x:c r="C24" s="8" t="str">
        <x:v>Next step</x:v>
      </x:c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 t="str">
        <x:v>At-risk buyers</x:v>
      </x:c>
      <x:c r="B25" s="13" t="n">
        <x:v>709</x:v>
      </x:c>
      <x:c r="C25" s="2" t="str">
        <x:v>Review high historical spend first</x:v>
      </x:c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 t="str">
        <x:v>Market concentration</x:v>
      </x:c>
      <x:c r="B26" s="2" t="str">
        <x:v>United Kingdom</x:v>
      </x:c>
      <x:c r="C26" s="2" t="str">
        <x:v>Monitor market-level contribution</x:v>
      </x:c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 t="str">
        <x:v>Retention association</x:v>
      </x:c>
      <x:c r="B27" s="13" t="n">
        <x:v>5256</x:v>
      </x:c>
      <x:c r="C27" s="2" t="str">
        <x:v>Design a randomized outreach pilot</x:v>
      </x:c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39" t="str">
        <x:v>Historical transaction values; no profit or causal retention uplift is claimed.</x:v>
      </x:c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23" customHeight="1">
      <x:c r="A31" s="39" t="str">
        <x:v>Customer and cohort analyses use identified purchases. Anonymous sales stay in sales totals.</x:v>
      </x:c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23" customHeight="1">
      <x:c r="A32" s="39" t="str">
        <x:v>Open the accompanying findings report for recommendations, uncertainty and limitations.</x:v>
      </x:c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</x:sheetData>
  <x:pageMargins left="0.7" right="0.7" top="0.75" bottom="0.75" header="0.3" footer="0.3"/>
  <x:drawing xmlns:r="http://schemas.openxmlformats.org/officeDocument/2006/relationships" r:id="Rd8ef9d7e20d0430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17" hidden="0" customWidth="1"/>
    <x:col min="6" max="6" width="17" hidden="0" customWidth="1"/>
    <x:col min="7" max="7" width="20" hidden="0" customWidth="1"/>
    <x:col min="8" max="8" width="20" hidden="0" customWidth="1"/>
    <x:col min="9" max="9" width="15" hidden="0" customWidth="1"/>
    <x:col min="10" max="10" width="3" hidden="0" customWidth="1"/>
    <x:col min="11" max="11" width="14" hidden="0" customWidth="1"/>
    <x:col min="12" max="12" width="20" hidden="0" customWidth="1"/>
    <x:col min="13" max="13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Monthly merchandise sales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GBP. Final month is partial. Monthly unique buyers must not be summed.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0" customHeight="1">
      <x:c r="A4" s="8" t="str">
        <x:v>Month</x:v>
      </x:c>
      <x:c r="B4" s="8" t="str">
        <x:v>Gross sales GBP</x:v>
      </x:c>
      <x:c r="C4" s="8" t="str">
        <x:v>Returns GBP</x:v>
      </x:c>
      <x:c r="D4" s="8" t="str">
        <x:v>Net sales GBP</x:v>
      </x:c>
      <x:c r="E4" s="8" t="str">
        <x:v>Orders</x:v>
      </x:c>
      <x:c r="F4" s="8" t="str">
        <x:v>Identified buyers</x:v>
      </x:c>
      <x:c r="G4" s="8" t="str">
        <x:v>Gross AOV GBP</x:v>
      </x:c>
      <x:c r="H4" s="8" t="str">
        <x:v>Net MoM growth</x:v>
      </x:c>
      <x:c r="I4" s="8" t="str">
        <x:v>Coverage</x:v>
      </x:c>
      <x:c r="J4" s="2"/>
      <x:c r="K4" s="8" t="str">
        <x:v>Month label</x:v>
      </x:c>
      <x:c r="L4" s="8" t="str">
        <x:v>Gross sales</x:v>
      </x:c>
      <x:c r="M4" s="8" t="str">
        <x:v>Net sales</x:v>
      </x:c>
    </x:row>
    <x:row r="5" ht="23" customHeight="1">
      <x:c r="A5" s="9" t="d">
        <x:v>2009-12-01T00:00:00.000Z</x:v>
      </x:c>
      <x:c r="B5" s="11" t="n">
        <x:v>797738.02</x:v>
      </x:c>
      <x:c r="C5" s="11" t="n">
        <x:v>19558.08</x:v>
      </x:c>
      <x:c r="D5" s="11" t="n">
        <x:f>B5-C5</x:f>
        <x:v>778179.9400000001</x:v>
      </x:c>
      <x:c r="E5" s="13" t="n">
        <x:v>1666</x:v>
      </x:c>
      <x:c r="F5" s="13" t="n">
        <x:v>951</x:v>
      </x:c>
      <x:c r="G5" s="11" t="n">
        <x:f>IF(E5=0,"n.a.",B5/E5)</x:f>
        <x:v>478.8343457382953</x:v>
      </x:c>
      <x:c r="H5" s="15" t="str">
        <x:v>n.a.</x:v>
      </x:c>
      <x:c r="I5" s="2" t="str">
        <x:v>Complete</x:v>
      </x:c>
      <x:c r="J5" s="2"/>
      <x:c r="K5" s="2" t="str">
        <x:f>TEXT(A5,"mmm yy")</x:f>
        <x:v>Dec 09</x:v>
      </x:c>
      <x:c r="L5" s="27" t="n">
        <x:f>B5</x:f>
        <x:v>797738.02</x:v>
      </x:c>
      <x:c r="M5" s="28" t="n">
        <x:f>D5</x:f>
        <x:v>778179.9400000001</x:v>
      </x:c>
    </x:row>
    <x:row r="6" ht="23" customHeight="1">
      <x:c r="A6" s="16" t="d">
        <x:v>2010-01-01T00:00:00.000Z</x:v>
      </x:c>
      <x:c r="B6" s="17" t="n">
        <x:v>612271.2</x:v>
      </x:c>
      <x:c r="C6" s="17" t="n">
        <x:v>7465.63</x:v>
      </x:c>
      <x:c r="D6" s="17" t="n">
        <x:f>B6-C6</x:f>
        <x:v>604805.57</x:v>
      </x:c>
      <x:c r="E6" s="18" t="n">
        <x:v>1049</x:v>
      </x:c>
      <x:c r="F6" s="18" t="n">
        <x:v>701</x:v>
      </x:c>
      <x:c r="G6" s="17" t="n">
        <x:f>IF(E6=0,"n.a.",B6/E6)</x:f>
        <x:v>583.6713060057197</x:v>
      </x:c>
      <x:c r="H6" s="19" t="n">
        <x:f>IF(D5=0,"n.a.",D6/D5-1)</x:f>
        <x:v>-0.22279470478254693</x:v>
      </x:c>
      <x:c r="I6" s="20" t="str">
        <x:v>Complete</x:v>
      </x:c>
      <x:c r="J6" s="2"/>
      <x:c r="K6" s="2" t="str">
        <x:f>TEXT(A6,"mmm yy")</x:f>
        <x:v>Jan 10</x:v>
      </x:c>
      <x:c r="L6" s="27" t="n">
        <x:f>B6</x:f>
        <x:v>612271.2</x:v>
      </x:c>
      <x:c r="M6" s="28" t="n">
        <x:f>D6</x:f>
        <x:v>604805.57</x:v>
      </x:c>
    </x:row>
    <x:row r="7" ht="23" customHeight="1">
      <x:c r="A7" s="9" t="d">
        <x:v>2010-02-01T00:00:00.000Z</x:v>
      </x:c>
      <x:c r="B7" s="11" t="n">
        <x:v>537893.54</x:v>
      </x:c>
      <x:c r="C7" s="11" t="n">
        <x:v>12575.44</x:v>
      </x:c>
      <x:c r="D7" s="11" t="n">
        <x:f>B7-C7</x:f>
        <x:v>525318.1000000001</x:v>
      </x:c>
      <x:c r="E7" s="13" t="n">
        <x:v>1189</x:v>
      </x:c>
      <x:c r="F7" s="13" t="n">
        <x:v>771</x:v>
      </x:c>
      <x:c r="G7" s="11" t="n">
        <x:f>IF(E7=0,"n.a.",B7/E7)</x:f>
        <x:v>452.39153910849456</x:v>
      </x:c>
      <x:c r="H7" s="15" t="n">
        <x:f>IF(D6=0,"n.a.",D7/D6-1)</x:f>
        <x:v>-0.13142648471309526</x:v>
      </x:c>
      <x:c r="I7" s="2" t="str">
        <x:v>Complete</x:v>
      </x:c>
      <x:c r="J7" s="2"/>
      <x:c r="K7" s="2" t="str">
        <x:f>TEXT(A7,"mmm yy")</x:f>
        <x:v>Feb 10</x:v>
      </x:c>
      <x:c r="L7" s="27" t="n">
        <x:f>B7</x:f>
        <x:v>537893.54</x:v>
      </x:c>
      <x:c r="M7" s="28" t="n">
        <x:f>D7</x:f>
        <x:v>525318.1000000001</x:v>
      </x:c>
    </x:row>
    <x:row r="8" ht="23" customHeight="1">
      <x:c r="A8" s="16" t="d">
        <x:v>2010-03-01T00:00:00.000Z</x:v>
      </x:c>
      <x:c r="B8" s="17" t="n">
        <x:v>761665.62</x:v>
      </x:c>
      <x:c r="C8" s="17" t="n">
        <x:v>9603.85</x:v>
      </x:c>
      <x:c r="D8" s="17" t="n">
        <x:f>B8-C8</x:f>
        <x:v>752061.77</x:v>
      </x:c>
      <x:c r="E8" s="18" t="n">
        <x:v>1647</x:v>
      </x:c>
      <x:c r="F8" s="18" t="n">
        <x:v>1051</x:v>
      </x:c>
      <x:c r="G8" s="17" t="n">
        <x:f>IF(E8=0,"n.a.",B8/E8)</x:f>
        <x:v>462.45635701275046</x:v>
      </x:c>
      <x:c r="H8" s="19" t="n">
        <x:f>IF(D7=0,"n.a.",D8/D7-1)</x:f>
        <x:v>0.43163117737614587</x:v>
      </x:c>
      <x:c r="I8" s="20" t="str">
        <x:v>Complete</x:v>
      </x:c>
      <x:c r="J8" s="2"/>
      <x:c r="K8" s="2" t="str">
        <x:f>TEXT(A8,"mmm yy")</x:f>
        <x:v>Mar 10</x:v>
      </x:c>
      <x:c r="L8" s="27" t="n">
        <x:f>B8</x:f>
        <x:v>761665.62</x:v>
      </x:c>
      <x:c r="M8" s="28" t="n">
        <x:f>D8</x:f>
        <x:v>752061.77</x:v>
      </x:c>
    </x:row>
    <x:row r="9" ht="23" customHeight="1">
      <x:c r="A9" s="9" t="d">
        <x:v>2010-04-01T00:00:00.000Z</x:v>
      </x:c>
      <x:c r="B9" s="11" t="n">
        <x:v>646233.18</x:v>
      </x:c>
      <x:c r="C9" s="11" t="n">
        <x:v>10025.26</x:v>
      </x:c>
      <x:c r="D9" s="11" t="n">
        <x:f>B9-C9</x:f>
        <x:v>636207.92</x:v>
      </x:c>
      <x:c r="E9" s="13" t="n">
        <x:v>1435</x:v>
      </x:c>
      <x:c r="F9" s="13" t="n">
        <x:v>939</x:v>
      </x:c>
      <x:c r="G9" s="11" t="n">
        <x:f>IF(E9=0,"n.a.",B9/E9)</x:f>
        <x:v>450.3367108013938</x:v>
      </x:c>
      <x:c r="H9" s="15" t="n">
        <x:f>IF(D8=0,"n.a.",D9/D8-1)</x:f>
        <x:v>-0.1540483170684237</x:v>
      </x:c>
      <x:c r="I9" s="2" t="str">
        <x:v>Complete</x:v>
      </x:c>
      <x:c r="J9" s="2"/>
      <x:c r="K9" s="2" t="str">
        <x:f>TEXT(A9,"mmm yy")</x:f>
        <x:v>Apr 10</x:v>
      </x:c>
      <x:c r="L9" s="27" t="n">
        <x:f>B9</x:f>
        <x:v>646233.18</x:v>
      </x:c>
      <x:c r="M9" s="28" t="n">
        <x:f>D9</x:f>
        <x:v>636207.92</x:v>
      </x:c>
    </x:row>
    <x:row r="10" ht="23" customHeight="1">
      <x:c r="A10" s="16" t="d">
        <x:v>2010-05-01T00:00:00.000Z</x:v>
      </x:c>
      <x:c r="B10" s="17" t="n">
        <x:v>643474.28</x:v>
      </x:c>
      <x:c r="C10" s="17" t="n">
        <x:v>37192.89</x:v>
      </x:c>
      <x:c r="D10" s="17" t="n">
        <x:f>B10-C10</x:f>
        <x:v>606281.39</x:v>
      </x:c>
      <x:c r="E10" s="18" t="n">
        <x:v>1484</x:v>
      </x:c>
      <x:c r="F10" s="18" t="n">
        <x:v>965</x:v>
      </x:c>
      <x:c r="G10" s="17" t="n">
        <x:f>IF(E10=0,"n.a.",B10/E10)</x:f>
        <x:v>433.6080053908356</x:v>
      </x:c>
      <x:c r="H10" s="19" t="n">
        <x:f>IF(D9=0,"n.a.",D10/D9-1)</x:f>
        <x:v>-0.047038914573713564</x:v>
      </x:c>
      <x:c r="I10" s="20" t="str">
        <x:v>Complete</x:v>
      </x:c>
      <x:c r="J10" s="2"/>
      <x:c r="K10" s="2" t="str">
        <x:f>TEXT(A10,"mmm yy")</x:f>
        <x:v>May 10</x:v>
      </x:c>
      <x:c r="L10" s="27" t="n">
        <x:f>B10</x:f>
        <x:v>643474.28</x:v>
      </x:c>
      <x:c r="M10" s="28" t="n">
        <x:f>D10</x:f>
        <x:v>606281.39</x:v>
      </x:c>
    </x:row>
    <x:row r="11" ht="23" customHeight="1">
      <x:c r="A11" s="9" t="d">
        <x:v>2010-06-01T00:00:00.000Z</x:v>
      </x:c>
      <x:c r="B11" s="11" t="n">
        <x:v>696439.47</x:v>
      </x:c>
      <x:c r="C11" s="11" t="n">
        <x:v>26336.86</x:v>
      </x:c>
      <x:c r="D11" s="11" t="n">
        <x:f>B11-C11</x:f>
        <x:v>670102.61</x:v>
      </x:c>
      <x:c r="E11" s="13" t="n">
        <x:v>1612</x:v>
      </x:c>
      <x:c r="F11" s="13" t="n">
        <x:v>1034</x:v>
      </x:c>
      <x:c r="G11" s="11" t="n">
        <x:f>IF(E11=0,"n.a.",B11/E11)</x:f>
        <x:v>432.03441066997516</x:v>
      </x:c>
      <x:c r="H11" s="15" t="n">
        <x:f>IF(D10=0,"n.a.",D11/D10-1)</x:f>
        <x:v>0.10526666503815996</x:v>
      </x:c>
      <x:c r="I11" s="2" t="str">
        <x:v>Complete</x:v>
      </x:c>
      <x:c r="J11" s="2"/>
      <x:c r="K11" s="2" t="str">
        <x:f>TEXT(A11,"mmm yy")</x:f>
        <x:v>Jun 10</x:v>
      </x:c>
      <x:c r="L11" s="27" t="n">
        <x:f>B11</x:f>
        <x:v>696439.47</x:v>
      </x:c>
      <x:c r="M11" s="28" t="n">
        <x:f>D11</x:f>
        <x:v>670102.61</x:v>
      </x:c>
    </x:row>
    <x:row r="12" ht="23" customHeight="1">
      <x:c r="A12" s="16" t="d">
        <x:v>2010-07-01T00:00:00.000Z</x:v>
      </x:c>
      <x:c r="B12" s="17" t="n">
        <x:v>632983.51</x:v>
      </x:c>
      <x:c r="C12" s="17" t="n">
        <x:v>17132.73</x:v>
      </x:c>
      <x:c r="D12" s="17" t="n">
        <x:f>B12-C12</x:f>
        <x:v>615850.78</x:v>
      </x:c>
      <x:c r="E12" s="18" t="n">
        <x:v>1507</x:v>
      </x:c>
      <x:c r="F12" s="18" t="n">
        <x:v>924</x:v>
      </x:c>
      <x:c r="G12" s="17" t="n">
        <x:f>IF(E12=0,"n.a.",B12/E12)</x:f>
        <x:v>420.0288719309887</x:v>
      </x:c>
      <x:c r="H12" s="19" t="n">
        <x:f>IF(D11=0,"n.a.",D12/D11-1)</x:f>
        <x:v>-0.08096048155968227</x:v>
      </x:c>
      <x:c r="I12" s="20" t="str">
        <x:v>Complete</x:v>
      </x:c>
      <x:c r="J12" s="2"/>
      <x:c r="K12" s="2" t="str">
        <x:f>TEXT(A12,"mmm yy")</x:f>
        <x:v>Jul 10</x:v>
      </x:c>
      <x:c r="L12" s="27" t="n">
        <x:f>B12</x:f>
        <x:v>632983.51</x:v>
      </x:c>
      <x:c r="M12" s="28" t="n">
        <x:f>D12</x:f>
        <x:v>615850.78</x:v>
      </x:c>
    </x:row>
    <x:row r="13" ht="23" customHeight="1">
      <x:c r="A13" s="9" t="d">
        <x:v>2010-08-01T00:00:00.000Z</x:v>
      </x:c>
      <x:c r="B13" s="11" t="n">
        <x:v>674036.87</x:v>
      </x:c>
      <x:c r="C13" s="11" t="n">
        <x:v>12397.6</x:v>
      </x:c>
      <x:c r="D13" s="11" t="n">
        <x:f>B13-C13</x:f>
        <x:v>661639.27</x:v>
      </x:c>
      <x:c r="E13" s="13" t="n">
        <x:v>1402</x:v>
      </x:c>
      <x:c r="F13" s="13" t="n">
        <x:v>910</x:v>
      </x:c>
      <x:c r="G13" s="11" t="n">
        <x:f>IF(E13=0,"n.a.",B13/E13)</x:f>
        <x:v>480.76809557774607</x:v>
      </x:c>
      <x:c r="H13" s="15" t="n">
        <x:f>IF(D12=0,"n.a.",D13/D12-1)</x:f>
        <x:v>0.07434997484293193</x:v>
      </x:c>
      <x:c r="I13" s="2" t="str">
        <x:v>Complete</x:v>
      </x:c>
      <x:c r="J13" s="2"/>
      <x:c r="K13" s="2" t="str">
        <x:f>TEXT(A13,"mmm yy")</x:f>
        <x:v>Aug 10</x:v>
      </x:c>
      <x:c r="L13" s="27" t="n">
        <x:f>B13</x:f>
        <x:v>674036.87</x:v>
      </x:c>
      <x:c r="M13" s="28" t="n">
        <x:f>D13</x:f>
        <x:v>661639.27</x:v>
      </x:c>
    </x:row>
    <x:row r="14" ht="23" customHeight="1">
      <x:c r="A14" s="16" t="d">
        <x:v>2010-09-01T00:00:00.000Z</x:v>
      </x:c>
      <x:c r="B14" s="17" t="n">
        <x:v>869224.44</x:v>
      </x:c>
      <x:c r="C14" s="17" t="n">
        <x:v>27686.42</x:v>
      </x:c>
      <x:c r="D14" s="17" t="n">
        <x:f>B14-C14</x:f>
        <x:v>841538.0199999999</x:v>
      </x:c>
      <x:c r="E14" s="18" t="n">
        <x:v>1789</x:v>
      </x:c>
      <x:c r="F14" s="18" t="n">
        <x:v>1136</x:v>
      </x:c>
      <x:c r="G14" s="17" t="n">
        <x:f>IF(E14=0,"n.a.",B14/E14)</x:f>
        <x:v>485.8716825041923</x:v>
      </x:c>
      <x:c r="H14" s="19" t="n">
        <x:f>IF(D13=0,"n.a.",D14/D13-1)</x:f>
        <x:v>0.2718985377031806</x:v>
      </x:c>
      <x:c r="I14" s="20" t="str">
        <x:v>Complete</x:v>
      </x:c>
      <x:c r="J14" s="2"/>
      <x:c r="K14" s="2" t="str">
        <x:f>TEXT(A14,"mmm yy")</x:f>
        <x:v>Sep 10</x:v>
      </x:c>
      <x:c r="L14" s="27" t="n">
        <x:f>B14</x:f>
        <x:v>869224.44</x:v>
      </x:c>
      <x:c r="M14" s="28" t="n">
        <x:f>D14</x:f>
        <x:v>841538.0199999999</x:v>
      </x:c>
    </x:row>
    <x:row r="15" ht="23" customHeight="1">
      <x:c r="A15" s="9" t="d">
        <x:v>2010-10-01T00:00:00.000Z</x:v>
      </x:c>
      <x:c r="B15" s="11" t="n">
        <x:v>1094357.68</x:v>
      </x:c>
      <x:c r="C15" s="11" t="n">
        <x:v>25451.07</x:v>
      </x:c>
      <x:c r="D15" s="11" t="n">
        <x:f>B15-C15</x:f>
        <x:v>1068906.6099999999</x:v>
      </x:c>
      <x:c r="E15" s="13" t="n">
        <x:v>2244</x:v>
      </x:c>
      <x:c r="F15" s="13" t="n">
        <x:v>1492</x:v>
      </x:c>
      <x:c r="G15" s="11" t="n">
        <x:f>IF(E15=0,"n.a.",B15/E15)</x:f>
        <x:v>487.6816755793226</x:v>
      </x:c>
      <x:c r="H15" s="15" t="n">
        <x:f>IF(D14=0,"n.a.",D15/D14-1)</x:f>
        <x:v>0.27018219568974433</x:v>
      </x:c>
      <x:c r="I15" s="2" t="str">
        <x:v>Complete</x:v>
      </x:c>
      <x:c r="J15" s="2"/>
      <x:c r="K15" s="2" t="str">
        <x:f>TEXT(A15,"mmm yy")</x:f>
        <x:v>Oct 10</x:v>
      </x:c>
      <x:c r="L15" s="27" t="n">
        <x:f>B15</x:f>
        <x:v>1094357.68</x:v>
      </x:c>
      <x:c r="M15" s="28" t="n">
        <x:f>D15</x:f>
        <x:v>1068906.6099999999</x:v>
      </x:c>
    </x:row>
    <x:row r="16" ht="23" customHeight="1">
      <x:c r="A16" s="16" t="d">
        <x:v>2010-11-01T00:00:00.000Z</x:v>
      </x:c>
      <x:c r="B16" s="17" t="n">
        <x:v>1429553.47</x:v>
      </x:c>
      <x:c r="C16" s="17" t="n">
        <x:v>35098.98</x:v>
      </x:c>
      <x:c r="D16" s="17" t="n">
        <x:f>B16-C16</x:f>
        <x:v>1394454.49</x:v>
      </x:c>
      <x:c r="E16" s="18" t="n">
        <x:v>2719</x:v>
      </x:c>
      <x:c r="F16" s="18" t="n">
        <x:v>1606</x:v>
      </x:c>
      <x:c r="G16" s="17" t="n">
        <x:f>IF(E16=0,"n.a.",B16/E16)</x:f>
        <x:v>525.7644244207429</x:v>
      </x:c>
      <x:c r="H16" s="19" t="n">
        <x:f>IF(D15=0,"n.a.",D16/D15-1)</x:f>
        <x:v>0.30456157437364917</x:v>
      </x:c>
      <x:c r="I16" s="20" t="str">
        <x:v>Complete</x:v>
      </x:c>
      <x:c r="J16" s="2"/>
      <x:c r="K16" s="2" t="str">
        <x:f>TEXT(A16,"mmm yy")</x:f>
        <x:v>Nov 10</x:v>
      </x:c>
      <x:c r="L16" s="27" t="n">
        <x:f>B16</x:f>
        <x:v>1429553.47</x:v>
      </x:c>
      <x:c r="M16" s="28" t="n">
        <x:f>D16</x:f>
        <x:v>1394454.49</x:v>
      </x:c>
    </x:row>
    <x:row r="17" ht="23" customHeight="1">
      <x:c r="A17" s="9" t="d">
        <x:v>2010-12-01T00:00:00.000Z</x:v>
      </x:c>
      <x:c r="B17" s="11" t="n">
        <x:v>775572.23</x:v>
      </x:c>
      <x:c r="C17" s="11" t="n">
        <x:v>17547.86</x:v>
      </x:c>
      <x:c r="D17" s="11" t="n">
        <x:f>B17-C17</x:f>
        <x:v>758024.37</x:v>
      </x:c>
      <x:c r="E17" s="13" t="n">
        <x:v>1550</x:v>
      </x:c>
      <x:c r="F17" s="13" t="n">
        <x:v>884</x:v>
      </x:c>
      <x:c r="G17" s="11" t="n">
        <x:f>IF(E17=0,"n.a.",B17/E17)</x:f>
        <x:v>500.3691806451613</x:v>
      </x:c>
      <x:c r="H17" s="15" t="n">
        <x:f>IF(D16=0,"n.a.",D17/D16-1)</x:f>
        <x:v>-0.45640078221556013</x:v>
      </x:c>
      <x:c r="I17" s="2" t="str">
        <x:v>Complete</x:v>
      </x:c>
      <x:c r="J17" s="2"/>
      <x:c r="K17" s="2" t="str">
        <x:f>TEXT(A17,"mmm yy")</x:f>
        <x:v>Dec 10</x:v>
      </x:c>
      <x:c r="L17" s="27" t="n">
        <x:f>B17</x:f>
        <x:v>775572.23</x:v>
      </x:c>
      <x:c r="M17" s="28" t="n">
        <x:f>D17</x:f>
        <x:v>758024.37</x:v>
      </x:c>
    </x:row>
    <x:row r="18" ht="23" customHeight="1">
      <x:c r="A18" s="16" t="d">
        <x:v>2011-01-01T00:00:00.000Z</x:v>
      </x:c>
      <x:c r="B18" s="17" t="n">
        <x:v>670361.99</x:v>
      </x:c>
      <x:c r="C18" s="17" t="n">
        <x:v>91525.05</x:v>
      </x:c>
      <x:c r="D18" s="17" t="n">
        <x:f>B18-C18</x:f>
        <x:v>578836.94</x:v>
      </x:c>
      <x:c r="E18" s="18" t="n">
        <x:v>1081</x:v>
      </x:c>
      <x:c r="F18" s="18" t="n">
        <x:v>739</x:v>
      </x:c>
      <x:c r="G18" s="17" t="n">
        <x:f>IF(E18=0,"n.a.",B18/E18)</x:f>
        <x:v>620.1313506012951</x:v>
      </x:c>
      <x:c r="H18" s="19" t="n">
        <x:f>IF(D17=0,"n.a.",D18/D17-1)</x:f>
        <x:v>-0.23638742643590738</x:v>
      </x:c>
      <x:c r="I18" s="20" t="str">
        <x:v>Complete</x:v>
      </x:c>
      <x:c r="J18" s="2"/>
      <x:c r="K18" s="2" t="str">
        <x:f>TEXT(A18,"mmm yy")</x:f>
        <x:v>Jan 11</x:v>
      </x:c>
      <x:c r="L18" s="27" t="n">
        <x:f>B18</x:f>
        <x:v>670361.99</x:v>
      </x:c>
      <x:c r="M18" s="28" t="n">
        <x:f>D18</x:f>
        <x:v>578836.94</x:v>
      </x:c>
    </x:row>
    <x:row r="19" ht="23" customHeight="1">
      <x:c r="A19" s="9" t="d">
        <x:v>2011-02-01T00:00:00.000Z</x:v>
      </x:c>
      <x:c r="B19" s="11" t="n">
        <x:v>507783.42</x:v>
      </x:c>
      <x:c r="C19" s="11" t="n">
        <x:v>8335.52</x:v>
      </x:c>
      <x:c r="D19" s="11" t="n">
        <x:f>B19-C19</x:f>
        <x:v>499447.89999999997</x:v>
      </x:c>
      <x:c r="E19" s="13" t="n">
        <x:v>1093</x:v>
      </x:c>
      <x:c r="F19" s="13" t="n">
        <x:v>757</x:v>
      </x:c>
      <x:c r="G19" s="11" t="n">
        <x:f>IF(E19=0,"n.a.",B19/E19)</x:f>
        <x:v>464.5776944190302</x:v>
      </x:c>
      <x:c r="H19" s="15" t="n">
        <x:f>IF(D18=0,"n.a.",D19/D18-1)</x:f>
        <x:v>-0.13715268413933634</x:v>
      </x:c>
      <x:c r="I19" s="2" t="str">
        <x:v>Complete</x:v>
      </x:c>
      <x:c r="J19" s="2"/>
      <x:c r="K19" s="2" t="str">
        <x:f>TEXT(A19,"mmm yy")</x:f>
        <x:v>Feb 11</x:v>
      </x:c>
      <x:c r="L19" s="27" t="n">
        <x:f>B19</x:f>
        <x:v>507783.42</x:v>
      </x:c>
      <x:c r="M19" s="28" t="n">
        <x:f>D19</x:f>
        <x:v>499447.89999999997</x:v>
      </x:c>
    </x:row>
    <x:row r="20" ht="23" customHeight="1">
      <x:c r="A20" s="16" t="d">
        <x:v>2011-03-01T00:00:00.000Z</x:v>
      </x:c>
      <x:c r="B20" s="17" t="n">
        <x:v>689708.49</x:v>
      </x:c>
      <x:c r="C20" s="17" t="n">
        <x:v>10504.3</x:v>
      </x:c>
      <x:c r="D20" s="17" t="n">
        <x:f>B20-C20</x:f>
        <x:v>679204.19</x:v>
      </x:c>
      <x:c r="E20" s="18" t="n">
        <x:v>1440</x:v>
      </x:c>
      <x:c r="F20" s="18" t="n">
        <x:v>973</x:v>
      </x:c>
      <x:c r="G20" s="17" t="n">
        <x:f>IF(E20=0,"n.a.",B20/E20)</x:f>
        <x:v>478.96422916666666</x:v>
      </x:c>
      <x:c r="H20" s="19" t="n">
        <x:f>IF(D19=0,"n.a.",D20/D19-1)</x:f>
        <x:v>0.35990999261384427</x:v>
      </x:c>
      <x:c r="I20" s="20" t="str">
        <x:v>Complete</x:v>
      </x:c>
      <x:c r="J20" s="2"/>
      <x:c r="K20" s="2" t="str">
        <x:f>TEXT(A20,"mmm yy")</x:f>
        <x:v>Mar 11</x:v>
      </x:c>
      <x:c r="L20" s="27" t="n">
        <x:f>B20</x:f>
        <x:v>689708.49</x:v>
      </x:c>
      <x:c r="M20" s="28" t="n">
        <x:f>D20</x:f>
        <x:v>679204.19</x:v>
      </x:c>
    </x:row>
    <x:row r="21" ht="23" customHeight="1">
      <x:c r="A21" s="9" t="d">
        <x:v>2011-04-01T00:00:00.000Z</x:v>
      </x:c>
      <x:c r="B21" s="11" t="n">
        <x:v>515354.78</x:v>
      </x:c>
      <x:c r="C21" s="11" t="n">
        <x:v>33316.06</x:v>
      </x:c>
      <x:c r="D21" s="11" t="n">
        <x:f>B21-C21</x:f>
        <x:v>482038.72000000003</x:v>
      </x:c>
      <x:c r="E21" s="13" t="n">
        <x:v>1235</x:v>
      </x:c>
      <x:c r="F21" s="13" t="n">
        <x:v>853</x:v>
      </x:c>
      <x:c r="G21" s="11" t="n">
        <x:f>IF(E21=0,"n.a.",B21/E21)</x:f>
        <x:v>417.2913198380567</x:v>
      </x:c>
      <x:c r="H21" s="15" t="n">
        <x:f>IF(D20=0,"n.a.",D21/D20-1)</x:f>
        <x:v>-0.29028894830581053</x:v>
      </x:c>
      <x:c r="I21" s="2" t="str">
        <x:v>Complete</x:v>
      </x:c>
      <x:c r="J21" s="2"/>
      <x:c r="K21" s="2" t="str">
        <x:f>TEXT(A21,"mmm yy")</x:f>
        <x:v>Apr 11</x:v>
      </x:c>
      <x:c r="L21" s="27" t="n">
        <x:f>B21</x:f>
        <x:v>515354.78</x:v>
      </x:c>
      <x:c r="M21" s="28" t="n">
        <x:f>D21</x:f>
        <x:v>482038.72000000003</x:v>
      </x:c>
    </x:row>
    <x:row r="22" ht="23" customHeight="1">
      <x:c r="A22" s="16" t="d">
        <x:v>2011-05-01T00:00:00.000Z</x:v>
      </x:c>
      <x:c r="B22" s="17" t="n">
        <x:v>739914.35</x:v>
      </x:c>
      <x:c r="C22" s="17" t="n">
        <x:v>8948.23</x:v>
      </x:c>
      <x:c r="D22" s="17" t="n">
        <x:f>B22-C22</x:f>
        <x:v>730966.12</x:v>
      </x:c>
      <x:c r="E22" s="18" t="n">
        <x:v>1668</x:v>
      </x:c>
      <x:c r="F22" s="18" t="n">
        <x:v>1054</x:v>
      </x:c>
      <x:c r="G22" s="17" t="n">
        <x:f>IF(E22=0,"n.a.",B22/E22)</x:f>
        <x:v>443.5937350119904</x:v>
      </x:c>
      <x:c r="H22" s="19" t="n">
        <x:f>IF(D21=0,"n.a.",D22/D21-1)</x:f>
        <x:v>0.5164054041135948</x:v>
      </x:c>
      <x:c r="I22" s="20" t="str">
        <x:v>Complete</x:v>
      </x:c>
      <x:c r="J22" s="2"/>
      <x:c r="K22" s="2" t="str">
        <x:f>TEXT(A22,"mmm yy")</x:f>
        <x:v>May 11</x:v>
      </x:c>
      <x:c r="L22" s="27" t="n">
        <x:f>B22</x:f>
        <x:v>739914.35</x:v>
      </x:c>
      <x:c r="M22" s="28" t="n">
        <x:f>D22</x:f>
        <x:v>730966.12</x:v>
      </x:c>
    </x:row>
    <x:row r="23" ht="23" customHeight="1">
      <x:c r="A23" s="9" t="d">
        <x:v>2011-06-01T00:00:00.000Z</x:v>
      </x:c>
      <x:c r="B23" s="11" t="n">
        <x:v>737558.98</x:v>
      </x:c>
      <x:c r="C23" s="11" t="n">
        <x:v>13713.84</x:v>
      </x:c>
      <x:c r="D23" s="11" t="n">
        <x:f>B23-C23</x:f>
        <x:v>723845.14</x:v>
      </x:c>
      <x:c r="E23" s="13" t="n">
        <x:v>1525</x:v>
      </x:c>
      <x:c r="F23" s="13" t="n">
        <x:v>990</x:v>
      </x:c>
      <x:c r="G23" s="11" t="n">
        <x:f>IF(E23=0,"n.a.",B23/E23)</x:f>
        <x:v>483.64523278688523</x:v>
      </x:c>
      <x:c r="H23" s="15" t="n">
        <x:f>IF(D22=0,"n.a.",D23/D22-1)</x:f>
        <x:v>-0.009741874219833857</x:v>
      </x:c>
      <x:c r="I23" s="2" t="str">
        <x:v>Complete</x:v>
      </x:c>
      <x:c r="J23" s="2"/>
      <x:c r="K23" s="2" t="str">
        <x:f>TEXT(A23,"mmm yy")</x:f>
        <x:v>Jun 11</x:v>
      </x:c>
      <x:c r="L23" s="27" t="n">
        <x:f>B23</x:f>
        <x:v>737558.98</x:v>
      </x:c>
      <x:c r="M23" s="28" t="n">
        <x:f>D23</x:f>
        <x:v>723845.14</x:v>
      </x:c>
    </x:row>
    <x:row r="24" ht="23" customHeight="1">
      <x:c r="A24" s="16" t="d">
        <x:v>2011-07-01T00:00:00.000Z</x:v>
      </x:c>
      <x:c r="B24" s="17" t="n">
        <x:v>688144.79</x:v>
      </x:c>
      <x:c r="C24" s="17" t="n">
        <x:v>11407.26</x:v>
      </x:c>
      <x:c r="D24" s="17" t="n">
        <x:f>B24-C24</x:f>
        <x:v>676737.53</x:v>
      </x:c>
      <x:c r="E24" s="18" t="n">
        <x:v>1452</x:v>
      </x:c>
      <x:c r="F24" s="18" t="n">
        <x:v>946</x:v>
      </x:c>
      <x:c r="G24" s="17" t="n">
        <x:f>IF(E24=0,"n.a.",B24/E24)</x:f>
        <x:v>473.9289187327824</x:v>
      </x:c>
      <x:c r="H24" s="19" t="n">
        <x:f>IF(D23=0,"n.a.",D24/D23-1)</x:f>
        <x:v>-0.06507967988843577</x:v>
      </x:c>
      <x:c r="I24" s="20" t="str">
        <x:v>Complete</x:v>
      </x:c>
      <x:c r="J24" s="2"/>
      <x:c r="K24" s="2" t="str">
        <x:f>TEXT(A24,"mmm yy")</x:f>
        <x:v>Jul 11</x:v>
      </x:c>
      <x:c r="L24" s="27" t="n">
        <x:f>B24</x:f>
        <x:v>688144.79</x:v>
      </x:c>
      <x:c r="M24" s="28" t="n">
        <x:f>D24</x:f>
        <x:v>676737.53</x:v>
      </x:c>
    </x:row>
    <x:row r="25" ht="23" customHeight="1">
      <x:c r="A25" s="9" t="d">
        <x:v>2011-08-01T00:00:00.000Z</x:v>
      </x:c>
      <x:c r="B25" s="11" t="n">
        <x:v>724196.76</x:v>
      </x:c>
      <x:c r="C25" s="11" t="n">
        <x:v>22926.57</x:v>
      </x:c>
      <x:c r="D25" s="11" t="n">
        <x:f>B25-C25</x:f>
        <x:v>701270.1900000001</x:v>
      </x:c>
      <x:c r="E25" s="13" t="n">
        <x:v>1339</x:v>
      </x:c>
      <x:c r="F25" s="13" t="n">
        <x:v>933</x:v>
      </x:c>
      <x:c r="G25" s="11" t="n">
        <x:f>IF(E25=0,"n.a.",B25/E25)</x:f>
        <x:v>540.8489619118745</x:v>
      </x:c>
      <x:c r="H25" s="15" t="n">
        <x:f>IF(D24=0,"n.a.",D25/D24-1)</x:f>
        <x:v>0.03625136616850555</x:v>
      </x:c>
      <x:c r="I25" s="2" t="str">
        <x:v>Complete</x:v>
      </x:c>
      <x:c r="J25" s="2"/>
      <x:c r="K25" s="2" t="str">
        <x:f>TEXT(A25,"mmm yy")</x:f>
        <x:v>Aug 11</x:v>
      </x:c>
      <x:c r="L25" s="27" t="n">
        <x:f>B25</x:f>
        <x:v>724196.76</x:v>
      </x:c>
      <x:c r="M25" s="28" t="n">
        <x:f>D25</x:f>
        <x:v>701270.1900000001</x:v>
      </x:c>
    </x:row>
    <x:row r="26" ht="23" customHeight="1">
      <x:c r="A26" s="16" t="d">
        <x:v>2011-09-01T00:00:00.000Z</x:v>
      </x:c>
      <x:c r="B26" s="17" t="n">
        <x:v>1028313.8</x:v>
      </x:c>
      <x:c r="C26" s="17" t="n">
        <x:v>16980.64</x:v>
      </x:c>
      <x:c r="D26" s="17" t="n">
        <x:f>B26-C26</x:f>
        <x:v>1011333.16</x:v>
      </x:c>
      <x:c r="E26" s="18" t="n">
        <x:v>1818</x:v>
      </x:c>
      <x:c r="F26" s="18" t="n">
        <x:v>1259</x:v>
      </x:c>
      <x:c r="G26" s="17" t="n">
        <x:f>IF(E26=0,"n.a.",B26/E26)</x:f>
        <x:v>565.6291529152916</x:v>
      </x:c>
      <x:c r="H26" s="19" t="n">
        <x:f>IF(D25=0,"n.a.",D26/D25-1)</x:f>
        <x:v>0.44214480298955805</x:v>
      </x:c>
      <x:c r="I26" s="20" t="str">
        <x:v>Complete</x:v>
      </x:c>
      <x:c r="J26" s="2"/>
      <x:c r="K26" s="2" t="str">
        <x:f>TEXT(A26,"mmm yy")</x:f>
        <x:v>Sep 11</x:v>
      </x:c>
      <x:c r="L26" s="27" t="n">
        <x:f>B26</x:f>
        <x:v>1028313.8</x:v>
      </x:c>
      <x:c r="M26" s="28" t="n">
        <x:f>D26</x:f>
        <x:v>1011333.16</x:v>
      </x:c>
    </x:row>
    <x:row r="27" ht="23" customHeight="1">
      <x:c r="A27" s="9" t="d">
        <x:v>2011-10-01T00:00:00.000Z</x:v>
      </x:c>
      <x:c r="B27" s="11" t="n">
        <x:v>1103310.96</x:v>
      </x:c>
      <x:c r="C27" s="11" t="n">
        <x:v>41613.03</x:v>
      </x:c>
      <x:c r="D27" s="11" t="n">
        <x:f>B27-C27</x:f>
        <x:v>1061697.93</x:v>
      </x:c>
      <x:c r="E27" s="13" t="n">
        <x:v>2005</x:v>
      </x:c>
      <x:c r="F27" s="13" t="n">
        <x:v>1361</x:v>
      </x:c>
      <x:c r="G27" s="11" t="n">
        <x:f>IF(E27=0,"n.a.",B27/E27)</x:f>
        <x:v>550.2797805486284</x:v>
      </x:c>
      <x:c r="H27" s="15" t="n">
        <x:f>IF(D26=0,"n.a.",D27/D26-1)</x:f>
        <x:v>0.049800374388989654</x:v>
      </x:c>
      <x:c r="I27" s="2" t="str">
        <x:v>Complete</x:v>
      </x:c>
      <x:c r="J27" s="2"/>
      <x:c r="K27" s="2" t="str">
        <x:f>TEXT(A27,"mmm yy")</x:f>
        <x:v>Oct 11</x:v>
      </x:c>
      <x:c r="L27" s="27" t="n">
        <x:f>B27</x:f>
        <x:v>1103310.96</x:v>
      </x:c>
      <x:c r="M27" s="28" t="n">
        <x:f>D27</x:f>
        <x:v>1061697.93</x:v>
      </x:c>
    </x:row>
    <x:row r="28" ht="23" customHeight="1">
      <x:c r="A28" s="16" t="d">
        <x:v>2011-11-01T00:00:00.000Z</x:v>
      </x:c>
      <x:c r="B28" s="17" t="n">
        <x:v>1452112.69</x:v>
      </x:c>
      <x:c r="C28" s="17" t="n">
        <x:v>24991.44</x:v>
      </x:c>
      <x:c r="D28" s="17" t="n">
        <x:f>B28-C28</x:f>
        <x:v>1427121.25</x:v>
      </x:c>
      <x:c r="E28" s="18" t="n">
        <x:v>2751</x:v>
      </x:c>
      <x:c r="F28" s="18" t="n">
        <x:v>1660</x:v>
      </x:c>
      <x:c r="G28" s="17" t="n">
        <x:f>IF(E28=0,"n.a.",B28/E28)</x:f>
        <x:v>527.8490330788804</x:v>
      </x:c>
      <x:c r="H28" s="19" t="n">
        <x:f>IF(D27=0,"n.a.",D28/D27-1)</x:f>
        <x:v>0.34418765420405406</x:v>
      </x:c>
      <x:c r="I28" s="20" t="str">
        <x:v>Complete</x:v>
      </x:c>
      <x:c r="J28" s="2"/>
      <x:c r="K28" s="2" t="str">
        <x:f>TEXT(A28,"mmm yy")</x:f>
        <x:v>Nov 11</x:v>
      </x:c>
      <x:c r="L28" s="27" t="n">
        <x:f>B28</x:f>
        <x:v>1452112.69</x:v>
      </x:c>
      <x:c r="M28" s="28" t="n">
        <x:f>D28</x:f>
        <x:v>1427121.25</x:v>
      </x:c>
    </x:row>
    <x:row r="29" ht="23" customHeight="1">
      <x:c r="A29" s="9" t="d">
        <x:v>2011-12-01T00:00:00.000Z</x:v>
      </x:c>
      <x:c r="B29" s="11" t="n">
        <x:v>614487.63</x:v>
      </x:c>
      <x:c r="C29" s="11" t="n">
        <x:v>174091.36</x:v>
      </x:c>
      <x:c r="D29" s="11" t="n">
        <x:f>B29-C29</x:f>
        <x:v>440396.27</x:v>
      </x:c>
      <x:c r="E29" s="13" t="n">
        <x:v>816</x:v>
      </x:c>
      <x:c r="F29" s="13" t="n">
        <x:v>614</x:v>
      </x:c>
      <x:c r="G29" s="11" t="n">
        <x:f>IF(E29=0,"n.a.",B29/E29)</x:f>
        <x:v>753.0485661764706</x:v>
      </x:c>
      <x:c r="H29" s="15" t="n">
        <x:f>IF(D28=0,"n.a.",D29/D28-1)</x:f>
        <x:v>-0.6914093529193823</x:v>
      </x:c>
      <x:c r="I29" s="2" t="str">
        <x:v>Partial</x:v>
      </x:c>
      <x:c r="J29" s="2"/>
      <x:c r="K29" s="2" t="str">
        <x:f>TEXT(A29,"mmm yy")</x:f>
        <x:v>Dec 11</x:v>
      </x:c>
      <x:c r="L29" s="27" t="n">
        <x:f>B29</x:f>
        <x:v>614487.63</x:v>
      </x:c>
      <x:c r="M29" s="28" t="n">
        <x:f>D29</x:f>
        <x:v>440396.27</x:v>
      </x:c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pageMargins left="0.7" right="0.7" top="0.75" bottom="0.75" header="0.3" footer="0.3"/>
  <x:tableParts count="1">
    <x:tablePart xmlns:r="http://schemas.openxmlformats.org/officeDocument/2006/relationships" r:id="R436c2ba3dfec45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Customer segments and repeat purchasing</x:v>
      </x:c>
      <x:c r="B2" s="2"/>
      <x:c r="C2" s="2"/>
      <x:c r="D2" s="2"/>
      <x:c r="E2" s="2"/>
      <x:c r="F2" s="2"/>
      <x:c r="G2" s="2"/>
    </x:row>
    <x:row r="3" ht="23" customHeight="1">
      <x:c r="A3" s="4" t="str">
        <x:v>Fixed full-history snapshot: 2011-12-10. Identified buyers only.</x:v>
      </x:c>
      <x:c r="B3" s="2"/>
      <x:c r="C3" s="2"/>
      <x:c r="D3" s="2"/>
      <x:c r="E3" s="2"/>
      <x:c r="F3" s="2"/>
      <x:c r="G3" s="2"/>
    </x:row>
    <x:row r="4" ht="30" customHeight="1">
      <x:c r="A4" s="8" t="str">
        <x:v>Segment</x:v>
      </x:c>
      <x:c r="B4" s="8" t="str">
        <x:v>Buyers</x:v>
      </x:c>
      <x:c r="C4" s="8" t="str">
        <x:v>Gross sales GBP</x:v>
      </x:c>
      <x:c r="D4" s="8" t="str">
        <x:v>Orders</x:v>
      </x:c>
      <x:c r="E4" s="8" t="str">
        <x:v>Buyer share</x:v>
      </x:c>
      <x:c r="F4" s="8" t="str">
        <x:v>Sales share</x:v>
      </x:c>
      <x:c r="G4" s="8" t="str">
        <x:v>Gross AOV GBP</x:v>
      </x:c>
    </x:row>
    <x:row r="5" ht="23" customHeight="1">
      <x:c r="A5" s="2" t="str">
        <x:v>Champions</x:v>
      </x:c>
      <x:c r="B5" s="13" t="n">
        <x:v>1395</x:v>
      </x:c>
      <x:c r="C5" s="27" t="n">
        <x:v>11706285.62</x:v>
      </x:c>
      <x:c r="D5" s="13" t="n">
        <x:v>22588</x:v>
      </x:c>
      <x:c r="E5" s="15" t="n">
        <x:f>B5/SUM($B$5:$B$10)</x:f>
        <x:v>0.23838004101161997</x:v>
      </x:c>
      <x:c r="F5" s="15" t="n">
        <x:f>C5/SUM($C$5:$C$10)</x:f>
        <x:v>0.6858387675272559</x:v>
      </x:c>
      <x:c r="G5" s="11" t="n">
        <x:f>C5/D5</x:f>
        <x:v>518.2524180981052</x:v>
      </x:c>
    </x:row>
    <x:row r="6" ht="23" customHeight="1">
      <x:c r="A6" s="20" t="str">
        <x:v>Needs attention</x:v>
      </x:c>
      <x:c r="B6" s="18" t="n">
        <x:v>1163</x:v>
      </x:c>
      <x:c r="C6" s="31" t="n">
        <x:v>2193236.4</x:v>
      </x:c>
      <x:c r="D6" s="18" t="n">
        <x:v>5685</x:v>
      </x:c>
      <x:c r="E6" s="19" t="n">
        <x:f>B6/SUM($B$5:$B$10)</x:f>
        <x:v>0.19873547505126452</x:v>
      </x:c>
      <x:c r="F6" s="19" t="n">
        <x:f>C6/SUM($C$5:$C$10)</x:f>
        <x:v>0.12849563032205563</x:v>
      </x:c>
      <x:c r="G6" s="17" t="n">
        <x:f>C6/D6</x:f>
        <x:v>385.793562005277</x:v>
      </x:c>
    </x:row>
    <x:row r="7" ht="23" customHeight="1">
      <x:c r="A7" s="2" t="str">
        <x:v>At risk</x:v>
      </x:c>
      <x:c r="B7" s="13" t="n">
        <x:v>709</x:v>
      </x:c>
      <x:c r="C7" s="27" t="n">
        <x:v>1524847.55</x:v>
      </x:c>
      <x:c r="D7" s="13" t="n">
        <x:v>3892</x:v>
      </x:c>
      <x:c r="E7" s="15" t="n">
        <x:f>B7/SUM($B$5:$B$10)</x:f>
        <x:v>0.12115516062884484</x:v>
      </x:c>
      <x:c r="F7" s="15" t="n">
        <x:f>C7/SUM($C$5:$C$10)</x:f>
        <x:v>0.08933658363607874</x:v>
      </x:c>
      <x:c r="G7" s="11" t="n">
        <x:f>C7/D7</x:f>
        <x:v>391.79022353545736</x:v>
      </x:c>
    </x:row>
    <x:row r="8" ht="23" customHeight="1">
      <x:c r="A8" s="20" t="str">
        <x:v>Recent repeat buyers</x:v>
      </x:c>
      <x:c r="B8" s="18" t="n">
        <x:v>716</x:v>
      </x:c>
      <x:c r="C8" s="31" t="n">
        <x:v>873695.73</x:v>
      </x:c>
      <x:c r="D8" s="18" t="n">
        <x:v>2063</x:v>
      </x:c>
      <x:c r="E8" s="19" t="n">
        <x:f>B8/SUM($B$5:$B$10)</x:f>
        <x:v>0.12235133287764867</x:v>
      </x:c>
      <x:c r="F8" s="19" t="n">
        <x:f>C8/SUM($C$5:$C$10)</x:f>
        <x:v>0.05118740667264073</x:v>
      </x:c>
      <x:c r="G8" s="17" t="n">
        <x:f>C8/D8</x:f>
        <x:v>423.50738245273874</x:v>
      </x:c>
    </x:row>
    <x:row r="9" ht="23" customHeight="1">
      <x:c r="A9" s="2" t="str">
        <x:v>Hibernating</x:v>
      </x:c>
      <x:c r="B9" s="13" t="n">
        <x:v>1630</x:v>
      </x:c>
      <x:c r="C9" s="27" t="n">
        <x:v>690823.57</x:v>
      </x:c>
      <x:c r="D9" s="13" t="n">
        <x:v>2127</x:v>
      </x:c>
      <x:c r="E9" s="15" t="n">
        <x:f>B9/SUM($B$5:$B$10)</x:f>
        <x:v>0.27853725222146275</x:v>
      </x:c>
      <x:c r="F9" s="15" t="n">
        <x:f>C9/SUM($C$5:$C$10)</x:f>
        <x:v>0.0404734346322552</x:v>
      </x:c>
      <x:c r="G9" s="11" t="n">
        <x:f>C9/D9</x:f>
        <x:v>324.7877621062529</x:v>
      </x:c>
    </x:row>
    <x:row r="10" ht="23" customHeight="1">
      <x:c r="A10" s="20" t="str">
        <x:v>Recent low-frequency buyers</x:v>
      </x:c>
      <x:c r="B10" s="18" t="n">
        <x:v>239</x:v>
      </x:c>
      <x:c r="C10" s="31" t="n">
        <x:v>79679.1</x:v>
      </x:c>
      <x:c r="D10" s="18" t="n">
        <x:v>239</x:v>
      </x:c>
      <x:c r="E10" s="19" t="n">
        <x:f>B10/SUM($B$5:$B$10)</x:f>
        <x:v>0.04084073820915926</x:v>
      </x:c>
      <x:c r="F10" s="19" t="n">
        <x:f>C10/SUM($C$5:$C$10)</x:f>
        <x:v>0.00466817720971351</x:v>
      </x:c>
      <x:c r="G10" s="17" t="n">
        <x:f>C10/D10</x:f>
        <x:v>333.3853556485356</x:v>
      </x:c>
    </x:row>
    <x:row r="11" ht="23" customHeight="1">
      <x:c r="A11" s="2"/>
      <x:c r="B11" s="2"/>
      <x:c r="C11" s="2"/>
      <x:c r="D11" s="2"/>
      <x:c r="E11" s="2"/>
      <x:c r="F11" s="2"/>
      <x:c r="G11" s="2"/>
    </x:row>
    <x:row r="12" ht="23" customHeight="1">
      <x:c r="A12" s="2"/>
      <x:c r="B12" s="2"/>
      <x:c r="C12" s="2"/>
      <x:c r="D12" s="2"/>
      <x:c r="E12" s="2"/>
      <x:c r="F12" s="2"/>
      <x:c r="G12" s="2"/>
    </x:row>
    <x:row r="13" ht="23" customHeight="1">
      <x:c r="A13" s="2"/>
      <x:c r="B13" s="2"/>
      <x:c r="C13" s="2"/>
      <x:c r="D13" s="2"/>
      <x:c r="E13" s="2"/>
      <x:c r="F13" s="2"/>
      <x:c r="G13" s="2"/>
    </x:row>
    <x:row r="14" ht="23" customHeight="1">
      <x:c r="A14" s="34" t="str">
        <x:v>90-day repeat-purchase study</x:v>
      </x:c>
      <x:c r="B14" s="2"/>
      <x:c r="C14" s="2"/>
      <x:c r="D14" s="2"/>
      <x:c r="E14" s="2"/>
      <x:c r="F14" s="2"/>
      <x:c r="G14" s="2"/>
    </x:row>
    <x:row r="15" ht="23" customHeight="1">
      <x:c r="A15" s="2" t="str">
        <x:v>Eligible buyers have 90 days of follow-up. First-order median: GBP 291.555</x:v>
      </x:c>
      <x:c r="B15" s="2"/>
      <x:c r="C15" s="2"/>
      <x:c r="D15" s="2"/>
      <x:c r="E15" s="2"/>
      <x:c r="F15" s="2"/>
      <x:c r="G15" s="2"/>
    </x:row>
    <x:row r="16" ht="30" customHeight="1">
      <x:c r="A16" s="8" t="str">
        <x:v>First observed order</x:v>
      </x:c>
      <x:c r="B16" s="8" t="str">
        <x:v>Buyers</x:v>
      </x:c>
      <x:c r="C16" s="8" t="str">
        <x:v>Repeat buyers</x:v>
      </x:c>
      <x:c r="D16" s="8" t="str">
        <x:v>Repeat rate</x:v>
      </x:c>
      <x:c r="E16" s="8" t="str">
        <x:v>95% CI low</x:v>
      </x:c>
      <x:c r="F16" s="8" t="str">
        <x:v>95% CI high</x:v>
      </x:c>
      <x:c r="G16" s="8" t="str">
        <x:v>Method</x:v>
      </x:c>
    </x:row>
    <x:row r="17" ht="23" customHeight="1">
      <x:c r="A17" s="2" t="str">
        <x:v>Above median</x:v>
      </x:c>
      <x:c r="B17" s="13" t="n">
        <x:v>2628</x:v>
      </x:c>
      <x:c r="C17" s="13" t="n">
        <x:v>1383</x:v>
      </x:c>
      <x:c r="D17" s="15" t="n">
        <x:f>C17/B17</x:f>
        <x:v>0.526255707762557</x:v>
      </x:c>
      <x:c r="E17" s="15" t="n">
        <x:v>0.5071412882206499</x:v>
      </x:c>
      <x:c r="F17" s="15" t="n">
        <x:v>0.5452934811829131</x:v>
      </x:c>
      <x:c r="G17" s="2" t="str">
        <x:v>Wilson CI</x:v>
      </x:c>
    </x:row>
    <x:row r="18" ht="23" customHeight="1">
      <x:c r="A18" s="2" t="str">
        <x:v>At or below median</x:v>
      </x:c>
      <x:c r="B18" s="13" t="n">
        <x:v>2628</x:v>
      </x:c>
      <x:c r="C18" s="13" t="n">
        <x:v>1062</x:v>
      </x:c>
      <x:c r="D18" s="15" t="n">
        <x:f>C18/B18</x:f>
        <x:v>0.4041095890410959</x:v>
      </x:c>
      <x:c r="E18" s="15" t="n">
        <x:v>0.38550119914608705</x:v>
      </x:c>
      <x:c r="F18" s="15" t="n">
        <x:v>0.4229979039017697</x:v>
      </x:c>
      <x:c r="G18" s="2" t="str">
        <x:v>Wilson CI</x:v>
      </x:c>
    </x:row>
    <x:row r="19" ht="23" customHeight="1">
      <x:c r="A19" s="2"/>
      <x:c r="B19" s="2"/>
      <x:c r="C19" s="2"/>
      <x:c r="D19" s="2"/>
      <x:c r="E19" s="2"/>
      <x:c r="F19" s="2"/>
      <x:c r="G19" s="2"/>
    </x:row>
    <x:row r="20" ht="23" customHeight="1">
      <x:c r="A20" s="2"/>
      <x:c r="B20" s="2"/>
      <x:c r="C20" s="2"/>
      <x:c r="D20" s="2"/>
      <x:c r="E20" s="2"/>
      <x:c r="F20" s="2"/>
      <x:c r="G20" s="2"/>
    </x:row>
    <x:row r="21" ht="23" customHeight="1">
      <x:c r="A21" s="2" t="str">
        <x:v>Rate difference</x:v>
      </x:c>
      <x:c r="B21" s="36" t="n">
        <x:f>D17-D18</x:f>
        <x:v>0.12214611872146114</x:v>
      </x:c>
      <x:c r="C21" s="2"/>
      <x:c r="D21" s="39" t="str">
        <x:v>Above median minus at/below median.</x:v>
      </x:c>
      <x:c r="E21" s="39"/>
      <x:c r="F21" s="39"/>
      <x:c r="G21" s="39"/>
    </x:row>
    <x:row r="22" ht="23" customHeight="1">
      <x:c r="A22" s="2" t="str">
        <x:v>Difference CI low</x:v>
      </x:c>
      <x:c r="B22" s="36" t="n">
        <x:v>0.09538004294085145</x:v>
      </x:c>
      <x:c r="C22" s="2"/>
      <x:c r="D22" s="39"/>
      <x:c r="E22" s="39"/>
      <x:c r="F22" s="39"/>
      <x:c r="G22" s="39"/>
    </x:row>
    <x:row r="23" ht="23" customHeight="1">
      <x:c r="A23" s="2" t="str">
        <x:v>Difference CI high</x:v>
      </x:c>
      <x:c r="B23" s="36" t="n">
        <x:v>0.14891219450207083</x:v>
      </x:c>
      <x:c r="C23" s="2"/>
      <x:c r="D23" s="39" t="str">
        <x:v>Observational association. No causal uplift claimed.</x:v>
      </x:c>
      <x:c r="E23" s="39"/>
      <x:c r="F23" s="39"/>
      <x:c r="G23" s="39"/>
    </x:row>
    <x:row r="24" ht="23" customHeight="1">
      <x:c r="A24" s="2" t="str">
        <x:v>Two-sided p-value</x:v>
      </x:c>
      <x:c r="B24" s="38" t="n">
        <x:v>6.873025625090896e-19</x:v>
      </x:c>
      <x:c r="C24" s="2"/>
      <x:c r="D24" s="39"/>
      <x:c r="E24" s="39"/>
      <x:c r="F24" s="39"/>
      <x:c r="G24" s="39"/>
    </x:row>
    <x:row r="25" ht="23" customHeight="1">
      <x:c r="A25" s="2" t="str">
        <x:v>Excluded recent buyers</x:v>
      </x:c>
      <x:c r="B25" s="13" t="n">
        <x:v>596</x:v>
      </x:c>
      <x:c r="C25" s="2"/>
      <x:c r="D25" s="39" t="str">
        <x:v>Test and confidence intervals are computed in Python.</x:v>
      </x:c>
      <x:c r="E25" s="39"/>
      <x:c r="F25" s="39"/>
      <x:c r="G25" s="39"/>
    </x:row>
    <x:row r="26" ht="23" customHeight="1">
      <x:c r="A26" s="2"/>
      <x:c r="B26" s="2"/>
      <x:c r="C26" s="2"/>
      <x:c r="D26" s="2"/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34" t="str">
        <x:v>Full-history population</x:v>
      </x:c>
      <x:c r="B29" s="2"/>
      <x:c r="C29" s="2"/>
      <x:c r="D29" s="2"/>
      <x:c r="E29" s="2"/>
      <x:c r="F29" s="2"/>
      <x:c r="G29" s="2"/>
    </x:row>
    <x:row r="30" ht="23" customHeight="1">
      <x:c r="A30" s="2" t="str">
        <x:v>Identified buyers</x:v>
      </x:c>
      <x:c r="B30" s="13" t="n">
        <x:f>SUM(B5:B10)</x:f>
        <x:v>5852</x:v>
      </x:c>
      <x:c r="C30" s="2"/>
      <x:c r="D30" s="2"/>
      <x:c r="E30" s="2"/>
      <x:c r="F30" s="2"/>
      <x:c r="G30" s="2"/>
    </x:row>
    <x:row r="31" ht="23" customHeight="1">
      <x:c r="A31" s="2" t="str">
        <x:v>Repeat buyers</x:v>
      </x:c>
      <x:c r="B31" s="13" t="n">
        <x:v>4234</x:v>
      </x:c>
      <x:c r="C31" s="2"/>
      <x:c r="D31" s="2"/>
      <x:c r="E31" s="2"/>
      <x:c r="F31" s="2"/>
      <x:c r="G31" s="2"/>
    </x:row>
    <x:row r="32" ht="23" customHeight="1">
      <x:c r="A32" s="2" t="str">
        <x:v>Observed repeat rate</x:v>
      </x:c>
      <x:c r="B32" s="15" t="n">
        <x:f>B31/B30</x:f>
        <x:v>0.7235133287764867</x:v>
      </x:c>
      <x:c r="C32" s="2"/>
      <x:c r="D32" s="2"/>
      <x:c r="E32" s="2"/>
      <x:c r="F32" s="2"/>
      <x:c r="G32" s="2"/>
    </x:row>
    <x:row r="33" ht="23" customHeight="1">
      <x:c r="A33" s="2" t="str">
        <x:v>Anonymous gross sales GBP</x:v>
      </x:c>
      <x:c r="B33" s="27" t="n">
        <x:v>2574124.18</x:v>
      </x:c>
      <x:c r="C33" s="2"/>
      <x:c r="D33" s="2"/>
      <x:c r="E33" s="2"/>
      <x:c r="F33" s="2"/>
      <x:c r="G33" s="2"/>
    </x:row>
    <x:row r="34" ht="23" customHeight="1">
      <x:c r="A34" s="2" t="str">
        <x:v>Identified gross sales GBP</x:v>
      </x:c>
      <x:c r="B34" s="27" t="n">
        <x:f>SUM(C5:C10)</x:f>
        <x:v>17068567.970000003</x:v>
      </x:c>
      <x:c r="C34" s="2"/>
      <x:c r="D34" s="2"/>
      <x:c r="E34" s="2"/>
      <x:c r="F34" s="2"/>
      <x:c r="G34" s="2"/>
    </x:row>
    <x:row r="35" ht="23" customHeight="1">
      <x:c r="A35" s="2"/>
      <x:c r="B35" s="2"/>
      <x:c r="C35" s="2"/>
      <x:c r="D35" s="2"/>
      <x:c r="E35" s="2"/>
      <x:c r="F35" s="2"/>
      <x:c r="G35" s="2"/>
    </x:row>
    <x:row r="36" ht="23" customHeight="1">
      <x:c r="A36" s="2"/>
      <x:c r="B36" s="2"/>
      <x:c r="C36" s="2"/>
      <x:c r="D36" s="2"/>
      <x:c r="E36" s="2"/>
      <x:c r="F36" s="2"/>
      <x:c r="G36" s="2"/>
    </x:row>
    <x:row r="37" ht="23" customHeight="1">
      <x:c r="A37" s="2" t="str">
        <x:v>R/F rules define the segment. Monetary score ranks value within it. RFM uses gross purchases.</x:v>
      </x:c>
      <x:c r="B37" s="2"/>
      <x:c r="C37" s="2"/>
      <x:c r="D37" s="2"/>
      <x:c r="E37" s="2"/>
      <x:c r="F37" s="2"/>
      <x:c r="G37" s="2"/>
    </x:row>
    <x:row r="38" ht="23" customHeight="1">
      <x:c r="A38" s="2" t="str">
        <x:v>Whole-history repeat rates have unequal follow-up. The 90-day comparison above uses equal follow-up.</x:v>
      </x:c>
      <x:c r="B38" s="2"/>
      <x:c r="C38" s="2"/>
      <x:c r="D38" s="2"/>
      <x:c r="E38" s="2"/>
      <x:c r="F38" s="2"/>
      <x:c r="G38" s="2"/>
    </x:row>
    <x:row r="39" ht="23" customHeight="1">
      <x:c r="A39" s="2"/>
      <x:c r="B39" s="2"/>
      <x:c r="C39" s="2"/>
      <x:c r="D39" s="2"/>
      <x:c r="E39" s="2"/>
      <x:c r="F39" s="2"/>
      <x:c r="G39" s="2"/>
    </x:row>
  </x:sheetData>
  <x:pageMargins left="0.7" right="0.7" top="0.75" bottom="0.75" header="0.3" footer="0.3"/>
  <x:tableParts count="1">
    <x:tablePart xmlns:r="http://schemas.openxmlformats.org/officeDocument/2006/relationships" r:id="Rc61524f5fb2940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3" hidden="0" customWidth="1"/>
    <x:col min="17" max="17" width="16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30" customHeight="1">
      <x:c r="A2" s="3" t="str">
        <x:v>Monthly cohort retention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</x:row>
    <x:row r="3" ht="23" customHeight="1">
      <x:c r="A3" s="2" t="str">
        <x:v>First observed purchase month. Blank = unobservable; final partial month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</x:row>
    <x:row r="4" ht="30" customHeight="1">
      <x:c r="A4" s="8" t="str">
        <x:v>Cohort</x:v>
      </x:c>
      <x:c r="B4" s="8" t="str">
        <x:v>Buyers</x:v>
      </x:c>
      <x:c r="C4" s="8" t="str">
        <x:v>M0</x:v>
      </x:c>
      <x:c r="D4" s="8" t="str">
        <x:v>M1</x:v>
      </x:c>
      <x:c r="E4" s="8" t="str">
        <x:v>M2</x:v>
      </x:c>
      <x:c r="F4" s="8" t="str">
        <x:v>M3</x:v>
      </x:c>
      <x:c r="G4" s="8" t="str">
        <x:v>M4</x:v>
      </x:c>
      <x:c r="H4" s="8" t="str">
        <x:v>M5</x:v>
      </x:c>
      <x:c r="I4" s="8" t="str">
        <x:v>M6</x:v>
      </x:c>
      <x:c r="J4" s="8" t="str">
        <x:v>M7</x:v>
      </x:c>
      <x:c r="K4" s="8" t="str">
        <x:v>M8</x:v>
      </x:c>
      <x:c r="L4" s="8" t="str">
        <x:v>M9</x:v>
      </x:c>
      <x:c r="M4" s="8" t="str">
        <x:v>M10</x:v>
      </x:c>
      <x:c r="N4" s="8" t="str">
        <x:v>M11</x:v>
      </x:c>
      <x:c r="O4" s="8" t="str">
        <x:v>M12</x:v>
      </x:c>
      <x:c r="P4" s="2"/>
      <x:c r="Q4" s="8" t="str">
        <x:v>Cohort</x:v>
      </x:c>
      <x:c r="R4" s="8" t="str">
        <x:v>Buyers</x:v>
      </x:c>
      <x:c r="S4" s="8" t="str">
        <x:v>M0 active</x:v>
      </x:c>
      <x:c r="T4" s="8" t="str">
        <x:v>M1 active</x:v>
      </x:c>
      <x:c r="U4" s="8" t="str">
        <x:v>M2 active</x:v>
      </x:c>
      <x:c r="V4" s="8" t="str">
        <x:v>M3 active</x:v>
      </x:c>
      <x:c r="W4" s="8" t="str">
        <x:v>M4 active</x:v>
      </x:c>
      <x:c r="X4" s="8" t="str">
        <x:v>M5 active</x:v>
      </x:c>
      <x:c r="Y4" s="8" t="str">
        <x:v>M6 active</x:v>
      </x:c>
      <x:c r="Z4" s="8" t="str">
        <x:v>M7 active</x:v>
      </x:c>
      <x:c r="AA4" s="8" t="str">
        <x:v>M8 active</x:v>
      </x:c>
      <x:c r="AB4" s="8" t="str">
        <x:v>M9 active</x:v>
      </x:c>
      <x:c r="AC4" s="8" t="str">
        <x:v>M10 active</x:v>
      </x:c>
      <x:c r="AD4" s="8" t="str">
        <x:v>M11 active</x:v>
      </x:c>
      <x:c r="AE4" s="8" t="str">
        <x:v>M12 active</x:v>
      </x:c>
    </x:row>
    <x:row r="5" ht="23" customHeight="1">
      <x:c r="A5" s="9" t="d">
        <x:v>2009-12-01T00:00:00.000Z</x:v>
      </x:c>
      <x:c r="B5" s="13" t="n">
        <x:v>951</x:v>
      </x:c>
      <x:c r="C5" s="41" t="n">
        <x:f>S5/$B5</x:f>
        <x:v>1</x:v>
      </x:c>
      <x:c r="D5" s="41" t="n">
        <x:f>T5/$B5</x:f>
        <x:v>0.3501577287066246</x:v>
      </x:c>
      <x:c r="E5" s="41" t="n">
        <x:f>U5/$B5</x:f>
        <x:v>0.3333333333333333</x:v>
      </x:c>
      <x:c r="F5" s="41" t="n">
        <x:f>V5/$B5</x:f>
        <x:v>0.42481598317560465</x:v>
      </x:c>
      <x:c r="G5" s="41" t="n">
        <x:f>W5/$B5</x:f>
        <x:v>0.3785488958990536</x:v>
      </x:c>
      <x:c r="H5" s="41" t="n">
        <x:f>X5/$B5</x:f>
        <x:v>0.35962145110410093</x:v>
      </x:c>
      <x:c r="I5" s="41" t="n">
        <x:f>Y5/$B5</x:f>
        <x:v>0.3764458464773922</x:v>
      </x:c>
      <x:c r="J5" s="41" t="n">
        <x:f>Z5/$B5</x:f>
        <x:v>0.3438485804416404</x:v>
      </x:c>
      <x:c r="K5" s="41" t="n">
        <x:f>AA5/$B5</x:f>
        <x:v>0.33753943217665616</x:v>
      </x:c>
      <x:c r="L5" s="41" t="n">
        <x:f>AB5/$B5</x:f>
        <x:v>0.3617245005257624</x:v>
      </x:c>
      <x:c r="M5" s="41" t="n">
        <x:f>AC5/$B5</x:f>
        <x:v>0.4216614090431125</x:v>
      </x:c>
      <x:c r="N5" s="41" t="n">
        <x:f>AD5/$B5</x:f>
        <x:v>0.49631966351209256</x:v>
      </x:c>
      <x:c r="O5" s="41" t="n">
        <x:f>AE5/$B5</x:f>
        <x:v>0.3764458464773922</x:v>
      </x:c>
      <x:c r="P5" s="2"/>
      <x:c r="Q5" s="9" t="d">
        <x:v>2009-12-01T00:00:00.000Z</x:v>
      </x:c>
      <x:c r="R5" s="2" t="n">
        <x:v>951</x:v>
      </x:c>
      <x:c r="S5" s="2" t="n">
        <x:v>951</x:v>
      </x:c>
      <x:c r="T5" s="2" t="n">
        <x:v>333</x:v>
      </x:c>
      <x:c r="U5" s="2" t="n">
        <x:v>317</x:v>
      </x:c>
      <x:c r="V5" s="2" t="n">
        <x:v>404</x:v>
      </x:c>
      <x:c r="W5" s="2" t="n">
        <x:v>360</x:v>
      </x:c>
      <x:c r="X5" s="2" t="n">
        <x:v>342</x:v>
      </x:c>
      <x:c r="Y5" s="2" t="n">
        <x:v>358</x:v>
      </x:c>
      <x:c r="Z5" s="2" t="n">
        <x:v>327</x:v>
      </x:c>
      <x:c r="AA5" s="2" t="n">
        <x:v>321</x:v>
      </x:c>
      <x:c r="AB5" s="2" t="n">
        <x:v>344</x:v>
      </x:c>
      <x:c r="AC5" s="2" t="n">
        <x:v>401</x:v>
      </x:c>
      <x:c r="AD5" s="2" t="n">
        <x:v>472</x:v>
      </x:c>
      <x:c r="AE5" s="2" t="n">
        <x:v>358</x:v>
      </x:c>
    </x:row>
    <x:row r="6" ht="23" customHeight="1">
      <x:c r="A6" s="9" t="d">
        <x:v>2010-01-01T00:00:00.000Z</x:v>
      </x:c>
      <x:c r="B6" s="13" t="n">
        <x:v>368</x:v>
      </x:c>
      <x:c r="C6" s="41" t="n">
        <x:f>S6/$B6</x:f>
        <x:v>1</x:v>
      </x:c>
      <x:c r="D6" s="41" t="n">
        <x:f>T6/$B6</x:f>
        <x:v>0.21467391304347827</x:v>
      </x:c>
      <x:c r="E6" s="41" t="n">
        <x:f>U6/$B6</x:f>
        <x:v>0.32065217391304346</x:v>
      </x:c>
      <x:c r="F6" s="41" t="n">
        <x:f>V6/$B6</x:f>
        <x:v>0.31521739130434784</x:v>
      </x:c>
      <x:c r="G6" s="41" t="n">
        <x:f>W6/$B6</x:f>
        <x:v>0.2717391304347826</x:v>
      </x:c>
      <x:c r="H6" s="41" t="n">
        <x:f>X6/$B6</x:f>
        <x:v>0.30978260869565216</x:v>
      </x:c>
      <x:c r="I6" s="41" t="n">
        <x:f>Y6/$B6</x:f>
        <x:v>0.26902173913043476</x:v>
      </x:c>
      <x:c r="J6" s="41" t="n">
        <x:f>Z6/$B6</x:f>
        <x:v>0.23369565217391305</x:v>
      </x:c>
      <x:c r="K6" s="41" t="n">
        <x:f>AA6/$B6</x:f>
        <x:v>0.28532608695652173</x:v>
      </x:c>
      <x:c r="L6" s="41" t="n">
        <x:f>AB6/$B6</x:f>
        <x:v>0.32608695652173914</x:v>
      </x:c>
      <x:c r="M6" s="41" t="n">
        <x:f>AC6/$B6</x:f>
        <x:v>0.30978260869565216</x:v>
      </x:c>
      <x:c r="N6" s="41" t="n">
        <x:f>AD6/$B6</x:f>
        <x:v>0.1793478260869565</x:v>
      </x:c>
      <x:c r="O6" s="41" t="n">
        <x:f>AE6/$B6</x:f>
        <x:v>0.22826086956521738</x:v>
      </x:c>
      <x:c r="P6" s="2"/>
      <x:c r="Q6" s="9" t="d">
        <x:v>2010-01-01T00:00:00.000Z</x:v>
      </x:c>
      <x:c r="R6" s="2" t="n">
        <x:v>368</x:v>
      </x:c>
      <x:c r="S6" s="2" t="n">
        <x:v>368</x:v>
      </x:c>
      <x:c r="T6" s="2" t="n">
        <x:v>79</x:v>
      </x:c>
      <x:c r="U6" s="2" t="n">
        <x:v>118</x:v>
      </x:c>
      <x:c r="V6" s="2" t="n">
        <x:v>116</x:v>
      </x:c>
      <x:c r="W6" s="2" t="n">
        <x:v>100</x:v>
      </x:c>
      <x:c r="X6" s="2" t="n">
        <x:v>114</x:v>
      </x:c>
      <x:c r="Y6" s="2" t="n">
        <x:v>99</x:v>
      </x:c>
      <x:c r="Z6" s="2" t="n">
        <x:v>86</x:v>
      </x:c>
      <x:c r="AA6" s="2" t="n">
        <x:v>105</x:v>
      </x:c>
      <x:c r="AB6" s="2" t="n">
        <x:v>120</x:v>
      </x:c>
      <x:c r="AC6" s="2" t="n">
        <x:v>114</x:v>
      </x:c>
      <x:c r="AD6" s="2" t="n">
        <x:v>66</x:v>
      </x:c>
      <x:c r="AE6" s="2" t="n">
        <x:v>84</x:v>
      </x:c>
    </x:row>
    <x:row r="7" ht="23" customHeight="1">
      <x:c r="A7" s="9" t="d">
        <x:v>2010-02-01T00:00:00.000Z</x:v>
      </x:c>
      <x:c r="B7" s="13" t="n">
        <x:v>375</x:v>
      </x:c>
      <x:c r="C7" s="41" t="n">
        <x:f>S7/$B7</x:f>
        <x:v>1</x:v>
      </x:c>
      <x:c r="D7" s="41" t="n">
        <x:f>T7/$B7</x:f>
        <x:v>0.23466666666666666</x:v>
      </x:c>
      <x:c r="E7" s="41" t="n">
        <x:f>U7/$B7</x:f>
        <x:v>0.22666666666666666</x:v>
      </x:c>
      <x:c r="F7" s="41" t="n">
        <x:f>V7/$B7</x:f>
        <x:v>0.29333333333333333</x:v>
      </x:c>
      <x:c r="G7" s="41" t="n">
        <x:f>W7/$B7</x:f>
        <x:v>0.24533333333333332</x:v>
      </x:c>
      <x:c r="H7" s="41" t="n">
        <x:f>X7/$B7</x:f>
        <x:v>0.19733333333333333</x:v>
      </x:c>
      <x:c r="I7" s="41" t="n">
        <x:f>Y7/$B7</x:f>
        <x:v>0.192</x:v>
      </x:c>
      <x:c r="J7" s="41" t="n">
        <x:f>Z7/$B7</x:f>
        <x:v>0.288</x:v>
      </x:c>
      <x:c r="K7" s="41" t="n">
        <x:f>AA7/$B7</x:f>
        <x:v>0.256</x:v>
      </x:c>
      <x:c r="L7" s="41" t="n">
        <x:f>AB7/$B7</x:f>
        <x:v>0.2773333333333333</x:v>
      </x:c>
      <x:c r="M7" s="41" t="n">
        <x:f>AC7/$B7</x:f>
        <x:v>0.11466666666666667</x:v>
      </x:c>
      <x:c r="N7" s="41" t="n">
        <x:f>AD7/$B7</x:f>
        <x:v>0.12533333333333332</x:v>
      </x:c>
      <x:c r="O7" s="41" t="n">
        <x:f>AE7/$B7</x:f>
        <x:v>0.152</x:v>
      </x:c>
      <x:c r="P7" s="2"/>
      <x:c r="Q7" s="9" t="d">
        <x:v>2010-02-01T00:00:00.000Z</x:v>
      </x:c>
      <x:c r="R7" s="2" t="n">
        <x:v>375</x:v>
      </x:c>
      <x:c r="S7" s="2" t="n">
        <x:v>375</x:v>
      </x:c>
      <x:c r="T7" s="2" t="n">
        <x:v>88</x:v>
      </x:c>
      <x:c r="U7" s="2" t="n">
        <x:v>85</x:v>
      </x:c>
      <x:c r="V7" s="2" t="n">
        <x:v>110</x:v>
      </x:c>
      <x:c r="W7" s="2" t="n">
        <x:v>92</x:v>
      </x:c>
      <x:c r="X7" s="2" t="n">
        <x:v>74</x:v>
      </x:c>
      <x:c r="Y7" s="2" t="n">
        <x:v>72</x:v>
      </x:c>
      <x:c r="Z7" s="2" t="n">
        <x:v>108</x:v>
      </x:c>
      <x:c r="AA7" s="2" t="n">
        <x:v>96</x:v>
      </x:c>
      <x:c r="AB7" s="2" t="n">
        <x:v>104</x:v>
      </x:c>
      <x:c r="AC7" s="2" t="n">
        <x:v>43</x:v>
      </x:c>
      <x:c r="AD7" s="2" t="n">
        <x:v>47</x:v>
      </x:c>
      <x:c r="AE7" s="2" t="n">
        <x:v>57</x:v>
      </x:c>
    </x:row>
    <x:row r="8" ht="23" customHeight="1">
      <x:c r="A8" s="9" t="d">
        <x:v>2010-03-01T00:00:00.000Z</x:v>
      </x:c>
      <x:c r="B8" s="13" t="n">
        <x:v>441</x:v>
      </x:c>
      <x:c r="C8" s="41" t="n">
        <x:f>S8/$B8</x:f>
        <x:v>1</x:v>
      </x:c>
      <x:c r="D8" s="41" t="n">
        <x:f>T8/$B8</x:f>
        <x:v>0.19047619047619047</x:v>
      </x:c>
      <x:c r="E8" s="41" t="n">
        <x:f>U8/$B8</x:f>
        <x:v>0.23129251700680273</x:v>
      </x:c>
      <x:c r="F8" s="41" t="n">
        <x:f>V8/$B8</x:f>
        <x:v>0.24263038548752835</x:v>
      </x:c>
      <x:c r="G8" s="41" t="n">
        <x:f>W8/$B8</x:f>
        <x:v>0.23129251700680273</x:v>
      </x:c>
      <x:c r="H8" s="41" t="n">
        <x:f>X8/$B8</x:f>
        <x:v>0.20408163265306123</x:v>
      </x:c>
      <x:c r="I8" s="41" t="n">
        <x:f>Y8/$B8</x:f>
        <x:v>0.2471655328798186</x:v>
      </x:c>
      <x:c r="J8" s="41" t="n">
        <x:f>Z8/$B8</x:f>
        <x:v>0.30612244897959184</x:v>
      </x:c>
      <x:c r="K8" s="41" t="n">
        <x:f>AA8/$B8</x:f>
        <x:v>0.2766439909297052</x:v>
      </x:c>
      <x:c r="L8" s="41" t="n">
        <x:f>AB8/$B8</x:f>
        <x:v>0.10884353741496598</x:v>
      </x:c>
      <x:c r="M8" s="41" t="n">
        <x:f>AC8/$B8</x:f>
        <x:v>0.11564625850340136</x:v>
      </x:c>
      <x:c r="N8" s="41" t="n">
        <x:f>AD8/$B8</x:f>
        <x:v>0.14512471655328799</x:v>
      </x:c>
      <x:c r="O8" s="41" t="n">
        <x:f>AE8/$B8</x:f>
        <x:v>0.19954648526077098</x:v>
      </x:c>
      <x:c r="P8" s="2"/>
      <x:c r="Q8" s="9" t="d">
        <x:v>2010-03-01T00:00:00.000Z</x:v>
      </x:c>
      <x:c r="R8" s="2" t="n">
        <x:v>441</x:v>
      </x:c>
      <x:c r="S8" s="2" t="n">
        <x:v>441</x:v>
      </x:c>
      <x:c r="T8" s="2" t="n">
        <x:v>84</x:v>
      </x:c>
      <x:c r="U8" s="2" t="n">
        <x:v>102</x:v>
      </x:c>
      <x:c r="V8" s="2" t="n">
        <x:v>107</x:v>
      </x:c>
      <x:c r="W8" s="2" t="n">
        <x:v>102</x:v>
      </x:c>
      <x:c r="X8" s="2" t="n">
        <x:v>90</x:v>
      </x:c>
      <x:c r="Y8" s="2" t="n">
        <x:v>109</x:v>
      </x:c>
      <x:c r="Z8" s="2" t="n">
        <x:v>135</x:v>
      </x:c>
      <x:c r="AA8" s="2" t="n">
        <x:v>122</x:v>
      </x:c>
      <x:c r="AB8" s="2" t="n">
        <x:v>48</x:v>
      </x:c>
      <x:c r="AC8" s="2" t="n">
        <x:v>51</x:v>
      </x:c>
      <x:c r="AD8" s="2" t="n">
        <x:v>64</x:v>
      </x:c>
      <x:c r="AE8" s="2" t="n">
        <x:v>88</x:v>
      </x:c>
    </x:row>
    <x:row r="9" ht="23" customHeight="1">
      <x:c r="A9" s="9" t="d">
        <x:v>2010-04-01T00:00:00.000Z</x:v>
      </x:c>
      <x:c r="B9" s="13" t="n">
        <x:v>294</x:v>
      </x:c>
      <x:c r="C9" s="41" t="n">
        <x:f>S9/$B9</x:f>
        <x:v>1</x:v>
      </x:c>
      <x:c r="D9" s="41" t="n">
        <x:f>T9/$B9</x:f>
        <x:v>0.19047619047619047</x:v>
      </x:c>
      <x:c r="E9" s="41" t="n">
        <x:f>U9/$B9</x:f>
        <x:v>0.19047619047619047</x:v>
      </x:c>
      <x:c r="F9" s="41" t="n">
        <x:f>V9/$B9</x:f>
        <x:v>0.1598639455782313</x:v>
      </x:c>
      <x:c r="G9" s="41" t="n">
        <x:f>W9/$B9</x:f>
        <x:v>0.1836734693877551</x:v>
      </x:c>
      <x:c r="H9" s="41" t="n">
        <x:f>X9/$B9</x:f>
        <x:v>0.22108843537414966</x:v>
      </x:c>
      <x:c r="I9" s="41" t="n">
        <x:f>Y9/$B9</x:f>
        <x:v>0.2755102040816326</x:v>
      </x:c>
      <x:c r="J9" s="41" t="n">
        <x:f>Z9/$B9</x:f>
        <x:v>0.2653061224489796</x:v>
      </x:c>
      <x:c r="K9" s="41" t="n">
        <x:f>AA9/$B9</x:f>
        <x:v>0.1054421768707483</x:v>
      </x:c>
      <x:c r="L9" s="41" t="n">
        <x:f>AB9/$B9</x:f>
        <x:v>0.10884353741496598</x:v>
      </x:c>
      <x:c r="M9" s="41" t="n">
        <x:f>AC9/$B9</x:f>
        <x:v>0.07482993197278912</x:v>
      </x:c>
      <x:c r="N9" s="41" t="n">
        <x:f>AD9/$B9</x:f>
        <x:v>0.13945578231292516</x:v>
      </x:c>
      <x:c r="O9" s="41" t="n">
        <x:f>AE9/$B9</x:f>
        <x:v>0.14285714285714285</x:v>
      </x:c>
      <x:c r="P9" s="2"/>
      <x:c r="Q9" s="9" t="d">
        <x:v>2010-04-01T00:00:00.000Z</x:v>
      </x:c>
      <x:c r="R9" s="2" t="n">
        <x:v>294</x:v>
      </x:c>
      <x:c r="S9" s="2" t="n">
        <x:v>294</x:v>
      </x:c>
      <x:c r="T9" s="2" t="n">
        <x:v>56</x:v>
      </x:c>
      <x:c r="U9" s="2" t="n">
        <x:v>56</x:v>
      </x:c>
      <x:c r="V9" s="2" t="n">
        <x:v>47</x:v>
      </x:c>
      <x:c r="W9" s="2" t="n">
        <x:v>54</x:v>
      </x:c>
      <x:c r="X9" s="2" t="n">
        <x:v>65</x:v>
      </x:c>
      <x:c r="Y9" s="2" t="n">
        <x:v>81</x:v>
      </x:c>
      <x:c r="Z9" s="2" t="n">
        <x:v>78</x:v>
      </x:c>
      <x:c r="AA9" s="2" t="n">
        <x:v>31</x:v>
      </x:c>
      <x:c r="AB9" s="2" t="n">
        <x:v>32</x:v>
      </x:c>
      <x:c r="AC9" s="2" t="n">
        <x:v>22</x:v>
      </x:c>
      <x:c r="AD9" s="2" t="n">
        <x:v>41</x:v>
      </x:c>
      <x:c r="AE9" s="2" t="n">
        <x:v>42</x:v>
      </x:c>
    </x:row>
    <x:row r="10" ht="23" customHeight="1">
      <x:c r="A10" s="9" t="d">
        <x:v>2010-05-01T00:00:00.000Z</x:v>
      </x:c>
      <x:c r="B10" s="13" t="n">
        <x:v>255</x:v>
      </x:c>
      <x:c r="C10" s="41" t="n">
        <x:f>S10/$B10</x:f>
        <x:v>1</x:v>
      </x:c>
      <x:c r="D10" s="41" t="n">
        <x:f>T10/$B10</x:f>
        <x:v>0.1568627450980392</x:v>
      </x:c>
      <x:c r="E10" s="41" t="n">
        <x:f>U10/$B10</x:f>
        <x:v>0.16862745098039217</x:v>
      </x:c>
      <x:c r="F10" s="41" t="n">
        <x:f>V10/$B10</x:f>
        <x:v>0.17647058823529413</x:v>
      </x:c>
      <x:c r="G10" s="41" t="n">
        <x:f>W10/$B10</x:f>
        <x:v>0.17647058823529413</x:v>
      </x:c>
      <x:c r="H10" s="41" t="n">
        <x:f>X10/$B10</x:f>
        <x:v>0.2549019607843137</x:v>
      </x:c>
      <x:c r="I10" s="41" t="n">
        <x:f>Y10/$B10</x:f>
        <x:v>0.21176470588235294</x:v>
      </x:c>
      <x:c r="J10" s="41" t="n">
        <x:f>Z10/$B10</x:f>
        <x:v>0.12549019607843137</x:v>
      </x:c>
      <x:c r="K10" s="41" t="n">
        <x:f>AA10/$B10</x:f>
        <x:v>0.058823529411764705</x:v>
      </x:c>
      <x:c r="L10" s="41" t="n">
        <x:f>AB10/$B10</x:f>
        <x:v>0.08235294117647059</x:v>
      </x:c>
      <x:c r="M10" s="41" t="n">
        <x:f>AC10/$B10</x:f>
        <x:v>0.11372549019607843</x:v>
      </x:c>
      <x:c r="N10" s="41" t="n">
        <x:f>AD10/$B10</x:f>
        <x:v>0.13333333333333333</x:v>
      </x:c>
      <x:c r="O10" s="41" t="n">
        <x:f>AE10/$B10</x:f>
        <x:v>0.15294117647058825</x:v>
      </x:c>
      <x:c r="P10" s="2"/>
      <x:c r="Q10" s="9" t="d">
        <x:v>2010-05-01T00:00:00.000Z</x:v>
      </x:c>
      <x:c r="R10" s="2" t="n">
        <x:v>255</x:v>
      </x:c>
      <x:c r="S10" s="2" t="n">
        <x:v>255</x:v>
      </x:c>
      <x:c r="T10" s="2" t="n">
        <x:v>40</x:v>
      </x:c>
      <x:c r="U10" s="2" t="n">
        <x:v>43</x:v>
      </x:c>
      <x:c r="V10" s="2" t="n">
        <x:v>45</x:v>
      </x:c>
      <x:c r="W10" s="2" t="n">
        <x:v>45</x:v>
      </x:c>
      <x:c r="X10" s="2" t="n">
        <x:v>65</x:v>
      </x:c>
      <x:c r="Y10" s="2" t="n">
        <x:v>54</x:v>
      </x:c>
      <x:c r="Z10" s="2" t="n">
        <x:v>32</x:v>
      </x:c>
      <x:c r="AA10" s="2" t="n">
        <x:v>15</x:v>
      </x:c>
      <x:c r="AB10" s="2" t="n">
        <x:v>21</x:v>
      </x:c>
      <x:c r="AC10" s="2" t="n">
        <x:v>29</x:v>
      </x:c>
      <x:c r="AD10" s="2" t="n">
        <x:v>34</x:v>
      </x:c>
      <x:c r="AE10" s="2" t="n">
        <x:v>39</x:v>
      </x:c>
    </x:row>
    <x:row r="11" ht="23" customHeight="1">
      <x:c r="A11" s="9" t="d">
        <x:v>2010-06-01T00:00:00.000Z</x:v>
      </x:c>
      <x:c r="B11" s="13" t="n">
        <x:v>267</x:v>
      </x:c>
      <x:c r="C11" s="41" t="n">
        <x:f>S11/$B11</x:f>
        <x:v>1</x:v>
      </x:c>
      <x:c r="D11" s="41" t="n">
        <x:f>T11/$B11</x:f>
        <x:v>0.1760299625468165</x:v>
      </x:c>
      <x:c r="E11" s="41" t="n">
        <x:f>U11/$B11</x:f>
        <x:v>0.18726591760299627</x:v>
      </x:c>
      <x:c r="F11" s="41" t="n">
        <x:f>V11/$B11</x:f>
        <x:v>0.20599250936329588</x:v>
      </x:c>
      <x:c r="G11" s="41" t="n">
        <x:f>W11/$B11</x:f>
        <x:v>0.23220973782771537</x:v>
      </x:c>
      <x:c r="H11" s="41" t="n">
        <x:f>X11/$B11</x:f>
        <x:v>0.2846441947565543</x:v>
      </x:c>
      <x:c r="I11" s="41" t="n">
        <x:f>Y11/$B11</x:f>
        <x:v>0.12734082397003746</x:v>
      </x:c>
      <x:c r="J11" s="41" t="n">
        <x:f>Z11/$B11</x:f>
        <x:v>0.0898876404494382</x:v>
      </x:c>
      <x:c r="K11" s="41" t="n">
        <x:f>AA11/$B11</x:f>
        <x:v>0.08239700374531835</x:v>
      </x:c>
      <x:c r="L11" s="41" t="n">
        <x:f>AB11/$B11</x:f>
        <x:v>0.11235955056179775</x:v>
      </x:c>
      <x:c r="M11" s="41" t="n">
        <x:f>AC11/$B11</x:f>
        <x:v>0.10486891385767791</x:v>
      </x:c>
      <x:c r="N11" s="41" t="n">
        <x:f>AD11/$B11</x:f>
        <x:v>0.13857677902621723</x:v>
      </x:c>
      <x:c r="O11" s="41" t="n">
        <x:f>AE11/$B11</x:f>
        <x:v>0.149812734082397</x:v>
      </x:c>
      <x:c r="P11" s="2"/>
      <x:c r="Q11" s="9" t="d">
        <x:v>2010-06-01T00:00:00.000Z</x:v>
      </x:c>
      <x:c r="R11" s="2" t="n">
        <x:v>267</x:v>
      </x:c>
      <x:c r="S11" s="2" t="n">
        <x:v>267</x:v>
      </x:c>
      <x:c r="T11" s="2" t="n">
        <x:v>47</x:v>
      </x:c>
      <x:c r="U11" s="2" t="n">
        <x:v>50</x:v>
      </x:c>
      <x:c r="V11" s="2" t="n">
        <x:v>55</x:v>
      </x:c>
      <x:c r="W11" s="2" t="n">
        <x:v>62</x:v>
      </x:c>
      <x:c r="X11" s="2" t="n">
        <x:v>76</x:v>
      </x:c>
      <x:c r="Y11" s="2" t="n">
        <x:v>34</x:v>
      </x:c>
      <x:c r="Z11" s="2" t="n">
        <x:v>24</x:v>
      </x:c>
      <x:c r="AA11" s="2" t="n">
        <x:v>22</x:v>
      </x:c>
      <x:c r="AB11" s="2" t="n">
        <x:v>30</x:v>
      </x:c>
      <x:c r="AC11" s="2" t="n">
        <x:v>28</x:v>
      </x:c>
      <x:c r="AD11" s="2" t="n">
        <x:v>37</x:v>
      </x:c>
      <x:c r="AE11" s="2" t="n">
        <x:v>40</x:v>
      </x:c>
    </x:row>
    <x:row r="12" ht="23" customHeight="1">
      <x:c r="A12" s="9" t="d">
        <x:v>2010-07-01T00:00:00.000Z</x:v>
      </x:c>
      <x:c r="B12" s="13" t="n">
        <x:v>185</x:v>
      </x:c>
      <x:c r="C12" s="41" t="n">
        <x:f>S12/$B12</x:f>
        <x:v>1</x:v>
      </x:c>
      <x:c r="D12" s="41" t="n">
        <x:f>T12/$B12</x:f>
        <x:v>0.15675675675675677</x:v>
      </x:c>
      <x:c r="E12" s="41" t="n">
        <x:f>U12/$B12</x:f>
        <x:v>0.1837837837837838</x:v>
      </x:c>
      <x:c r="F12" s="41" t="n">
        <x:f>V12/$B12</x:f>
        <x:v>0.2972972972972973</x:v>
      </x:c>
      <x:c r="G12" s="41" t="n">
        <x:f>W12/$B12</x:f>
        <x:v>0.2918918918918919</x:v>
      </x:c>
      <x:c r="H12" s="41" t="n">
        <x:f>X12/$B12</x:f>
        <x:v>0.14054054054054055</x:v>
      </x:c>
      <x:c r="I12" s="41" t="n">
        <x:f>Y12/$B12</x:f>
        <x:v>0.11351351351351352</x:v>
      </x:c>
      <x:c r="J12" s="41" t="n">
        <x:f>Z12/$B12</x:f>
        <x:v>0.14594594594594595</x:v>
      </x:c>
      <x:c r="K12" s="41" t="n">
        <x:f>AA12/$B12</x:f>
        <x:v>0.14594594594594595</x:v>
      </x:c>
      <x:c r="L12" s="41" t="n">
        <x:f>AB12/$B12</x:f>
        <x:v>0.11351351351351352</x:v>
      </x:c>
      <x:c r="M12" s="41" t="n">
        <x:f>AC12/$B12</x:f>
        <x:v>0.13513513513513514</x:v>
      </x:c>
      <x:c r="N12" s="41" t="n">
        <x:f>AD12/$B12</x:f>
        <x:v>0.14594594594594595</x:v>
      </x:c>
      <x:c r="O12" s="41" t="n">
        <x:f>AE12/$B12</x:f>
        <x:v>0.12972972972972974</x:v>
      </x:c>
      <x:c r="P12" s="2"/>
      <x:c r="Q12" s="9" t="d">
        <x:v>2010-07-01T00:00:00.000Z</x:v>
      </x:c>
      <x:c r="R12" s="2" t="n">
        <x:v>185</x:v>
      </x:c>
      <x:c r="S12" s="2" t="n">
        <x:v>185</x:v>
      </x:c>
      <x:c r="T12" s="2" t="n">
        <x:v>29</x:v>
      </x:c>
      <x:c r="U12" s="2" t="n">
        <x:v>34</x:v>
      </x:c>
      <x:c r="V12" s="2" t="n">
        <x:v>55</x:v>
      </x:c>
      <x:c r="W12" s="2" t="n">
        <x:v>54</x:v>
      </x:c>
      <x:c r="X12" s="2" t="n">
        <x:v>26</x:v>
      </x:c>
      <x:c r="Y12" s="2" t="n">
        <x:v>21</x:v>
      </x:c>
      <x:c r="Z12" s="2" t="n">
        <x:v>27</x:v>
      </x:c>
      <x:c r="AA12" s="2" t="n">
        <x:v>27</x:v>
      </x:c>
      <x:c r="AB12" s="2" t="n">
        <x:v>21</x:v>
      </x:c>
      <x:c r="AC12" s="2" t="n">
        <x:v>25</x:v>
      </x:c>
      <x:c r="AD12" s="2" t="n">
        <x:v>27</x:v>
      </x:c>
      <x:c r="AE12" s="2" t="n">
        <x:v>24</x:v>
      </x:c>
    </x:row>
    <x:row r="13" ht="23" customHeight="1">
      <x:c r="A13" s="9" t="d">
        <x:v>2010-08-01T00:00:00.000Z</x:v>
      </x:c>
      <x:c r="B13" s="13" t="n">
        <x:v>163</x:v>
      </x:c>
      <x:c r="C13" s="41" t="n">
        <x:f>S13/$B13</x:f>
        <x:v>1</x:v>
      </x:c>
      <x:c r="D13" s="41" t="n">
        <x:f>T13/$B13</x:f>
        <x:v>0.19631901840490798</x:v>
      </x:c>
      <x:c r="E13" s="41" t="n">
        <x:f>U13/$B13</x:f>
        <x:v>0.2883435582822086</x:v>
      </x:c>
      <x:c r="F13" s="41" t="n">
        <x:f>V13/$B13</x:f>
        <x:v>0.32515337423312884</x:v>
      </x:c>
      <x:c r="G13" s="41" t="n">
        <x:f>W13/$B13</x:f>
        <x:v>0.1656441717791411</x:v>
      </x:c>
      <x:c r="H13" s="41" t="n">
        <x:f>X13/$B13</x:f>
        <x:v>0.1165644171779141</x:v>
      </x:c>
      <x:c r="I13" s="41" t="n">
        <x:f>Y13/$B13</x:f>
        <x:v>0.09815950920245399</x:v>
      </x:c>
      <x:c r="J13" s="41" t="n">
        <x:f>Z13/$B13</x:f>
        <x:v>0.12883435582822086</x:v>
      </x:c>
      <x:c r="K13" s="41" t="n">
        <x:f>AA13/$B13</x:f>
        <x:v>0.13496932515337423</x:v>
      </x:c>
      <x:c r="L13" s="41" t="n">
        <x:f>AB13/$B13</x:f>
        <x:v>0.12883435582822086</x:v>
      </x:c>
      <x:c r="M13" s="41" t="n">
        <x:f>AC13/$B13</x:f>
        <x:v>0.12883435582822086</x:v>
      </x:c>
      <x:c r="N13" s="41" t="n">
        <x:f>AD13/$B13</x:f>
        <x:v>0.1165644171779141</x:v>
      </x:c>
      <x:c r="O13" s="41" t="n">
        <x:f>AE13/$B13</x:f>
        <x:v>0.147239263803681</x:v>
      </x:c>
      <x:c r="P13" s="2"/>
      <x:c r="Q13" s="9" t="d">
        <x:v>2010-08-01T00:00:00.000Z</x:v>
      </x:c>
      <x:c r="R13" s="2" t="n">
        <x:v>163</x:v>
      </x:c>
      <x:c r="S13" s="2" t="n">
        <x:v>163</x:v>
      </x:c>
      <x:c r="T13" s="2" t="n">
        <x:v>32</x:v>
      </x:c>
      <x:c r="U13" s="2" t="n">
        <x:v>47</x:v>
      </x:c>
      <x:c r="V13" s="2" t="n">
        <x:v>53</x:v>
      </x:c>
      <x:c r="W13" s="2" t="n">
        <x:v>27</x:v>
      </x:c>
      <x:c r="X13" s="2" t="n">
        <x:v>19</x:v>
      </x:c>
      <x:c r="Y13" s="2" t="n">
        <x:v>16</x:v>
      </x:c>
      <x:c r="Z13" s="2" t="n">
        <x:v>21</x:v>
      </x:c>
      <x:c r="AA13" s="2" t="n">
        <x:v>22</x:v>
      </x:c>
      <x:c r="AB13" s="2" t="n">
        <x:v>21</x:v>
      </x:c>
      <x:c r="AC13" s="2" t="n">
        <x:v>21</x:v>
      </x:c>
      <x:c r="AD13" s="2" t="n">
        <x:v>19</x:v>
      </x:c>
      <x:c r="AE13" s="2" t="n">
        <x:v>24</x:v>
      </x:c>
    </x:row>
    <x:row r="14" ht="23" customHeight="1">
      <x:c r="A14" s="9" t="d">
        <x:v>2010-09-01T00:00:00.000Z</x:v>
      </x:c>
      <x:c r="B14" s="13" t="n">
        <x:v>239</x:v>
      </x:c>
      <x:c r="C14" s="41" t="n">
        <x:f>S14/$B14</x:f>
        <x:v>1</x:v>
      </x:c>
      <x:c r="D14" s="41" t="n">
        <x:f>T14/$B14</x:f>
        <x:v>0.2301255230125523</x:v>
      </x:c>
      <x:c r="E14" s="41" t="n">
        <x:f>U14/$B14</x:f>
        <x:v>0.23430962343096234</x:v>
      </x:c>
      <x:c r="F14" s="41" t="n">
        <x:f>V14/$B14</x:f>
        <x:v>0.1297071129707113</x:v>
      </x:c>
      <x:c r="G14" s="41" t="n">
        <x:f>W14/$B14</x:f>
        <x:v>0.08786610878661087</x:v>
      </x:c>
      <x:c r="H14" s="41" t="n">
        <x:f>X14/$B14</x:f>
        <x:v>0.10460251046025104</x:v>
      </x:c>
      <x:c r="I14" s="41" t="n">
        <x:f>Y14/$B14</x:f>
        <x:v>0.13807531380753138</x:v>
      </x:c>
      <x:c r="J14" s="41" t="n">
        <x:f>Z14/$B14</x:f>
        <x:v>0.09623430962343096</x:v>
      </x:c>
      <x:c r="K14" s="41" t="n">
        <x:f>AA14/$B14</x:f>
        <x:v>0.1297071129707113</x:v>
      </x:c>
      <x:c r="L14" s="41" t="n">
        <x:f>AB14/$B14</x:f>
        <x:v>0.1297071129707113</x:v>
      </x:c>
      <x:c r="M14" s="41" t="n">
        <x:f>AC14/$B14</x:f>
        <x:v>0.12133891213389121</x:v>
      </x:c>
      <x:c r="N14" s="41" t="n">
        <x:f>AD14/$B14</x:f>
        <x:v>0.100418410041841</x:v>
      </x:c>
      <x:c r="O14" s="41" t="n">
        <x:f>AE14/$B14</x:f>
        <x:v>0.22594142259414227</x:v>
      </x:c>
      <x:c r="P14" s="2"/>
      <x:c r="Q14" s="9" t="d">
        <x:v>2010-09-01T00:00:00.000Z</x:v>
      </x:c>
      <x:c r="R14" s="2" t="n">
        <x:v>239</x:v>
      </x:c>
      <x:c r="S14" s="2" t="n">
        <x:v>239</x:v>
      </x:c>
      <x:c r="T14" s="2" t="n">
        <x:v>55</x:v>
      </x:c>
      <x:c r="U14" s="2" t="n">
        <x:v>56</x:v>
      </x:c>
      <x:c r="V14" s="2" t="n">
        <x:v>31</x:v>
      </x:c>
      <x:c r="W14" s="2" t="n">
        <x:v>21</x:v>
      </x:c>
      <x:c r="X14" s="2" t="n">
        <x:v>25</x:v>
      </x:c>
      <x:c r="Y14" s="2" t="n">
        <x:v>33</x:v>
      </x:c>
      <x:c r="Z14" s="2" t="n">
        <x:v>23</x:v>
      </x:c>
      <x:c r="AA14" s="2" t="n">
        <x:v>31</x:v>
      </x:c>
      <x:c r="AB14" s="2" t="n">
        <x:v>31</x:v>
      </x:c>
      <x:c r="AC14" s="2" t="n">
        <x:v>29</x:v>
      </x:c>
      <x:c r="AD14" s="2" t="n">
        <x:v>24</x:v>
      </x:c>
      <x:c r="AE14" s="2" t="n">
        <x:v>54</x:v>
      </x:c>
    </x:row>
    <x:row r="15" ht="23" customHeight="1">
      <x:c r="A15" s="9" t="d">
        <x:v>2010-10-01T00:00:00.000Z</x:v>
      </x:c>
      <x:c r="B15" s="13" t="n">
        <x:v>375</x:v>
      </x:c>
      <x:c r="C15" s="41" t="n">
        <x:f>S15/$B15</x:f>
        <x:v>1</x:v>
      </x:c>
      <x:c r="D15" s="41" t="n">
        <x:f>T15/$B15</x:f>
        <x:v>0.25866666666666666</x:v>
      </x:c>
      <x:c r="E15" s="41" t="n">
        <x:f>U15/$B15</x:f>
        <x:v>0.14666666666666667</x:v>
      </x:c>
      <x:c r="F15" s="41" t="n">
        <x:f>V15/$B15</x:f>
        <x:v>0.12533333333333332</x:v>
      </x:c>
      <x:c r="G15" s="41" t="n">
        <x:f>W15/$B15</x:f>
        <x:v>0.088</x:v>
      </x:c>
      <x:c r="H15" s="41" t="n">
        <x:f>X15/$B15</x:f>
        <x:v>0.08266666666666667</x:v>
      </x:c>
      <x:c r="I15" s="41" t="n">
        <x:f>Y15/$B15</x:f>
        <x:v>0.13066666666666665</x:v>
      </x:c>
      <x:c r="J15" s="41" t="n">
        <x:f>Z15/$B15</x:f>
        <x:v>0.13866666666666666</x:v>
      </x:c>
      <x:c r="K15" s="41" t="n">
        <x:f>AA15/$B15</x:f>
        <x:v>0.10666666666666667</x:v>
      </x:c>
      <x:c r="L15" s="41" t="n">
        <x:f>AB15/$B15</x:f>
        <x:v>0.09333333333333334</x:v>
      </x:c>
      <x:c r="M15" s="41" t="n">
        <x:f>AC15/$B15</x:f>
        <x:v>0.10666666666666667</x:v>
      </x:c>
      <x:c r="N15" s="41" t="n">
        <x:f>AD15/$B15</x:f>
        <x:v>0.128</x:v>
      </x:c>
      <x:c r="O15" s="41" t="n">
        <x:f>AE15/$B15</x:f>
        <x:v>0.192</x:v>
      </x:c>
      <x:c r="P15" s="2"/>
      <x:c r="Q15" s="9" t="d">
        <x:v>2010-10-01T00:00:00.000Z</x:v>
      </x:c>
      <x:c r="R15" s="2" t="n">
        <x:v>375</x:v>
      </x:c>
      <x:c r="S15" s="2" t="n">
        <x:v>375</x:v>
      </x:c>
      <x:c r="T15" s="2" t="n">
        <x:v>97</x:v>
      </x:c>
      <x:c r="U15" s="2" t="n">
        <x:v>55</x:v>
      </x:c>
      <x:c r="V15" s="2" t="n">
        <x:v>47</x:v>
      </x:c>
      <x:c r="W15" s="2" t="n">
        <x:v>33</x:v>
      </x:c>
      <x:c r="X15" s="2" t="n">
        <x:v>31</x:v>
      </x:c>
      <x:c r="Y15" s="2" t="n">
        <x:v>49</x:v>
      </x:c>
      <x:c r="Z15" s="2" t="n">
        <x:v>52</x:v>
      </x:c>
      <x:c r="AA15" s="2" t="n">
        <x:v>40</x:v>
      </x:c>
      <x:c r="AB15" s="2" t="n">
        <x:v>35</x:v>
      </x:c>
      <x:c r="AC15" s="2" t="n">
        <x:v>40</x:v>
      </x:c>
      <x:c r="AD15" s="2" t="n">
        <x:v>48</x:v>
      </x:c>
      <x:c r="AE15" s="2" t="n">
        <x:v>72</x:v>
      </x:c>
    </x:row>
    <x:row r="16" ht="23" customHeight="1">
      <x:c r="A16" s="9" t="d">
        <x:v>2010-11-01T00:00:00.000Z</x:v>
      </x:c>
      <x:c r="B16" s="13" t="n">
        <x:v>326</x:v>
      </x:c>
      <x:c r="C16" s="41" t="n">
        <x:f>S16/$B16</x:f>
        <x:v>1</x:v>
      </x:c>
      <x:c r="D16" s="41" t="n">
        <x:f>T16/$B16</x:f>
        <x:v>0.17484662576687116</x:v>
      </x:c>
      <x:c r="E16" s="41" t="n">
        <x:f>U16/$B16</x:f>
        <x:v>0.0950920245398773</x:v>
      </x:c>
      <x:c r="F16" s="41" t="n">
        <x:f>V16/$B16</x:f>
        <x:v>0.0950920245398773</x:v>
      </x:c>
      <x:c r="G16" s="41" t="n">
        <x:f>W16/$B16</x:f>
        <x:v>0.07668711656441718</x:v>
      </x:c>
      <x:c r="H16" s="41" t="n">
        <x:f>X16/$B16</x:f>
        <x:v>0.08895705521472393</x:v>
      </x:c>
      <x:c r="I16" s="41" t="n">
        <x:f>Y16/$B16</x:f>
        <x:v>0.12883435582822086</x:v>
      </x:c>
      <x:c r="J16" s="41" t="n">
        <x:f>Z16/$B16</x:f>
        <x:v>0.10122699386503067</x:v>
      </x:c>
      <x:c r="K16" s="41" t="n">
        <x:f>AA16/$B16</x:f>
        <x:v>0.08588957055214724</x:v>
      </x:c>
      <x:c r="L16" s="41" t="n">
        <x:f>AB16/$B16</x:f>
        <x:v>0.09202453987730061</x:v>
      </x:c>
      <x:c r="M16" s="41" t="n">
        <x:f>AC16/$B16</x:f>
        <x:v>0.11042944785276074</x:v>
      </x:c>
      <x:c r="N16" s="41" t="n">
        <x:f>AD16/$B16</x:f>
        <x:v>0.147239263803681</x:v>
      </x:c>
      <x:c r="O16" s="41" t="n">
        <x:f>AE16/$B16</x:f>
        <x:v>0.25153374233128833</x:v>
      </x:c>
      <x:c r="P16" s="2"/>
      <x:c r="Q16" s="9" t="d">
        <x:v>2010-11-01T00:00:00.000Z</x:v>
      </x:c>
      <x:c r="R16" s="2" t="n">
        <x:v>326</x:v>
      </x:c>
      <x:c r="S16" s="2" t="n">
        <x:v>326</x:v>
      </x:c>
      <x:c r="T16" s="2" t="n">
        <x:v>57</x:v>
      </x:c>
      <x:c r="U16" s="2" t="n">
        <x:v>31</x:v>
      </x:c>
      <x:c r="V16" s="2" t="n">
        <x:v>31</x:v>
      </x:c>
      <x:c r="W16" s="2" t="n">
        <x:v>25</x:v>
      </x:c>
      <x:c r="X16" s="2" t="n">
        <x:v>29</x:v>
      </x:c>
      <x:c r="Y16" s="2" t="n">
        <x:v>42</x:v>
      </x:c>
      <x:c r="Z16" s="2" t="n">
        <x:v>33</x:v>
      </x:c>
      <x:c r="AA16" s="2" t="n">
        <x:v>28</x:v>
      </x:c>
      <x:c r="AB16" s="2" t="n">
        <x:v>30</x:v>
      </x:c>
      <x:c r="AC16" s="2" t="n">
        <x:v>36</x:v>
      </x:c>
      <x:c r="AD16" s="2" t="n">
        <x:v>48</x:v>
      </x:c>
      <x:c r="AE16" s="2" t="n">
        <x:v>82</x:v>
      </x:c>
    </x:row>
    <x:row r="17" ht="23" customHeight="1">
      <x:c r="A17" s="9" t="d">
        <x:v>2010-12-01T00:00:00.000Z</x:v>
      </x:c>
      <x:c r="B17" s="13" t="n">
        <x:v>76</x:v>
      </x:c>
      <x:c r="C17" s="41" t="n">
        <x:f>S17/$B17</x:f>
        <x:v>1</x:v>
      </x:c>
      <x:c r="D17" s="41" t="n">
        <x:f>T17/$B17</x:f>
        <x:v>0.09210526315789473</x:v>
      </x:c>
      <x:c r="E17" s="41" t="n">
        <x:f>U17/$B17</x:f>
        <x:v>0.05263157894736842</x:v>
      </x:c>
      <x:c r="F17" s="41" t="n">
        <x:f>V17/$B17</x:f>
        <x:v>0.09210526315789473</x:v>
      </x:c>
      <x:c r="G17" s="41" t="n">
        <x:f>W17/$B17</x:f>
        <x:v>0.11842105263157894</x:v>
      </x:c>
      <x:c r="H17" s="41" t="n">
        <x:f>X17/$B17</x:f>
        <x:v>0.06578947368421052</x:v>
      </x:c>
      <x:c r="I17" s="41" t="n">
        <x:f>Y17/$B17</x:f>
        <x:v>0.05263157894736842</x:v>
      </x:c>
      <x:c r="J17" s="41" t="n">
        <x:f>Z17/$B17</x:f>
        <x:v>0.09210526315789473</x:v>
      </x:c>
      <x:c r="K17" s="41" t="n">
        <x:f>AA17/$B17</x:f>
        <x:v>0.05263157894736842</x:v>
      </x:c>
      <x:c r="L17" s="41" t="n">
        <x:f>AB17/$B17</x:f>
        <x:v>0.02631578947368421</x:v>
      </x:c>
      <x:c r="M17" s="41" t="n">
        <x:f>AC17/$B17</x:f>
        <x:v>0.09210526315789473</x:v>
      </x:c>
      <x:c r="N17" s="41" t="n">
        <x:f>AD17/$B17</x:f>
        <x:v>0.19736842105263158</x:v>
      </x:c>
      <x:c r="O17" s="41"/>
      <x:c r="P17" s="2"/>
      <x:c r="Q17" s="9" t="d">
        <x:v>2010-12-01T00:00:00.000Z</x:v>
      </x:c>
      <x:c r="R17" s="2" t="n">
        <x:v>76</x:v>
      </x:c>
      <x:c r="S17" s="2" t="n">
        <x:v>76</x:v>
      </x:c>
      <x:c r="T17" s="2" t="n">
        <x:v>7</x:v>
      </x:c>
      <x:c r="U17" s="2" t="n">
        <x:v>4</x:v>
      </x:c>
      <x:c r="V17" s="2" t="n">
        <x:v>7</x:v>
      </x:c>
      <x:c r="W17" s="2" t="n">
        <x:v>9</x:v>
      </x:c>
      <x:c r="X17" s="2" t="n">
        <x:v>5</x:v>
      </x:c>
      <x:c r="Y17" s="2" t="n">
        <x:v>4</x:v>
      </x:c>
      <x:c r="Z17" s="2" t="n">
        <x:v>7</x:v>
      </x:c>
      <x:c r="AA17" s="2" t="n">
        <x:v>4</x:v>
      </x:c>
      <x:c r="AB17" s="2" t="n">
        <x:v>2</x:v>
      </x:c>
      <x:c r="AC17" s="2" t="n">
        <x:v>7</x:v>
      </x:c>
      <x:c r="AD17" s="2" t="n">
        <x:v>15</x:v>
      </x:c>
      <x:c r="AE17" s="2"/>
    </x:row>
    <x:row r="18" ht="23" customHeight="1">
      <x:c r="A18" s="9" t="d">
        <x:v>2011-01-01T00:00:00.000Z</x:v>
      </x:c>
      <x:c r="B18" s="13" t="n">
        <x:v>72</x:v>
      </x:c>
      <x:c r="C18" s="41" t="n">
        <x:f>S18/$B18</x:f>
        <x:v>1</x:v>
      </x:c>
      <x:c r="D18" s="41" t="n">
        <x:f>T18/$B18</x:f>
        <x:v>0.16666666666666666</x:v>
      </x:c>
      <x:c r="E18" s="41" t="n">
        <x:f>U18/$B18</x:f>
        <x:v>0.2222222222222222</x:v>
      </x:c>
      <x:c r="F18" s="41" t="n">
        <x:f>V18/$B18</x:f>
        <x:v>0.19444444444444445</x:v>
      </x:c>
      <x:c r="G18" s="41" t="n">
        <x:f>W18/$B18</x:f>
        <x:v>0.2222222222222222</x:v>
      </x:c>
      <x:c r="H18" s="41" t="n">
        <x:f>X18/$B18</x:f>
        <x:v>0.1527777777777778</x:v>
      </x:c>
      <x:c r="I18" s="41" t="n">
        <x:f>Y18/$B18</x:f>
        <x:v>0.1527777777777778</x:v>
      </x:c>
      <x:c r="J18" s="41" t="n">
        <x:f>Z18/$B18</x:f>
        <x:v>0.125</x:v>
      </x:c>
      <x:c r="K18" s="41" t="n">
        <x:f>AA18/$B18</x:f>
        <x:v>0.1111111111111111</x:v>
      </x:c>
      <x:c r="L18" s="41" t="n">
        <x:f>AB18/$B18</x:f>
        <x:v>0.20833333333333334</x:v>
      </x:c>
      <x:c r="M18" s="41" t="n">
        <x:f>AC18/$B18</x:f>
        <x:v>0.25</x:v>
      </x:c>
      <x:c r="N18" s="41"/>
      <x:c r="O18" s="41"/>
      <x:c r="P18" s="2"/>
      <x:c r="Q18" s="9" t="d">
        <x:v>2011-01-01T00:00:00.000Z</x:v>
      </x:c>
      <x:c r="R18" s="2" t="n">
        <x:v>72</x:v>
      </x:c>
      <x:c r="S18" s="2" t="n">
        <x:v>72</x:v>
      </x:c>
      <x:c r="T18" s="2" t="n">
        <x:v>12</x:v>
      </x:c>
      <x:c r="U18" s="2" t="n">
        <x:v>16</x:v>
      </x:c>
      <x:c r="V18" s="2" t="n">
        <x:v>14</x:v>
      </x:c>
      <x:c r="W18" s="2" t="n">
        <x:v>16</x:v>
      </x:c>
      <x:c r="X18" s="2" t="n">
        <x:v>11</x:v>
      </x:c>
      <x:c r="Y18" s="2" t="n">
        <x:v>11</x:v>
      </x:c>
      <x:c r="Z18" s="2" t="n">
        <x:v>9</x:v>
      </x:c>
      <x:c r="AA18" s="2" t="n">
        <x:v>8</x:v>
      </x:c>
      <x:c r="AB18" s="2" t="n">
        <x:v>15</x:v>
      </x:c>
      <x:c r="AC18" s="2" t="n">
        <x:v>18</x:v>
      </x:c>
      <x:c r="AD18" s="2"/>
      <x:c r="AE18" s="2"/>
    </x:row>
    <x:row r="19" ht="23" customHeight="1">
      <x:c r="A19" s="9" t="d">
        <x:v>2011-02-01T00:00:00.000Z</x:v>
      </x:c>
      <x:c r="B19" s="13" t="n">
        <x:v>125</x:v>
      </x:c>
      <x:c r="C19" s="41" t="n">
        <x:f>S19/$B19</x:f>
        <x:v>1</x:v>
      </x:c>
      <x:c r="D19" s="41" t="n">
        <x:f>T19/$B19</x:f>
        <x:v>0.16</x:v>
      </x:c>
      <x:c r="E19" s="41" t="n">
        <x:f>U19/$B19</x:f>
        <x:v>0.16</x:v>
      </x:c>
      <x:c r="F19" s="41" t="n">
        <x:f>V19/$B19</x:f>
        <x:v>0.184</x:v>
      </x:c>
      <x:c r="G19" s="41" t="n">
        <x:f>W19/$B19</x:f>
        <x:v>0.216</x:v>
      </x:c>
      <x:c r="H19" s="41" t="n">
        <x:f>X19/$B19</x:f>
        <x:v>0.16</x:v>
      </x:c>
      <x:c r="I19" s="41" t="n">
        <x:f>Y19/$B19</x:f>
        <x:v>0.16</x:v>
      </x:c>
      <x:c r="J19" s="41" t="n">
        <x:f>Z19/$B19</x:f>
        <x:v>0.152</x:v>
      </x:c>
      <x:c r="K19" s="41" t="n">
        <x:f>AA19/$B19</x:f>
        <x:v>0.152</x:v>
      </x:c>
      <x:c r="L19" s="41" t="n">
        <x:f>AB19/$B19</x:f>
        <x:v>0.184</x:v>
      </x:c>
      <x:c r="M19" s="41"/>
      <x:c r="N19" s="41"/>
      <x:c r="O19" s="41"/>
      <x:c r="P19" s="2"/>
      <x:c r="Q19" s="9" t="d">
        <x:v>2011-02-01T00:00:00.000Z</x:v>
      </x:c>
      <x:c r="R19" s="2" t="n">
        <x:v>125</x:v>
      </x:c>
      <x:c r="S19" s="2" t="n">
        <x:v>125</x:v>
      </x:c>
      <x:c r="T19" s="2" t="n">
        <x:v>20</x:v>
      </x:c>
      <x:c r="U19" s="2" t="n">
        <x:v>20</x:v>
      </x:c>
      <x:c r="V19" s="2" t="n">
        <x:v>23</x:v>
      </x:c>
      <x:c r="W19" s="2" t="n">
        <x:v>27</x:v>
      </x:c>
      <x:c r="X19" s="2" t="n">
        <x:v>20</x:v>
      </x:c>
      <x:c r="Y19" s="2" t="n">
        <x:v>20</x:v>
      </x:c>
      <x:c r="Z19" s="2" t="n">
        <x:v>19</x:v>
      </x:c>
      <x:c r="AA19" s="2" t="n">
        <x:v>19</x:v>
      </x:c>
      <x:c r="AB19" s="2" t="n">
        <x:v>23</x:v>
      </x:c>
      <x:c r="AC19" s="2"/>
      <x:c r="AD19" s="2"/>
      <x:c r="AE19" s="2"/>
    </x:row>
    <x:row r="20" ht="23" customHeight="1">
      <x:c r="A20" s="9" t="d">
        <x:v>2011-03-01T00:00:00.000Z</x:v>
      </x:c>
      <x:c r="B20" s="13" t="n">
        <x:v>179</x:v>
      </x:c>
      <x:c r="C20" s="41" t="n">
        <x:f>S20/$B20</x:f>
        <x:v>1</x:v>
      </x:c>
      <x:c r="D20" s="41" t="n">
        <x:f>T20/$B20</x:f>
        <x:v>0.1787709497206704</x:v>
      </x:c>
      <x:c r="E20" s="41" t="n">
        <x:f>U20/$B20</x:f>
        <x:v>0.21787709497206703</x:v>
      </x:c>
      <x:c r="F20" s="41" t="n">
        <x:f>V20/$B20</x:f>
        <x:v>0.2011173184357542</x:v>
      </x:c>
      <x:c r="G20" s="41" t="n">
        <x:f>W20/$B20</x:f>
        <x:v>0.22346368715083798</x:v>
      </x:c>
      <x:c r="H20" s="41" t="n">
        <x:f>X20/$B20</x:f>
        <x:v>0.15083798882681565</x:v>
      </x:c>
      <x:c r="I20" s="41" t="n">
        <x:f>Y20/$B20</x:f>
        <x:v>0.20670391061452514</x:v>
      </x:c>
      <x:c r="J20" s="41" t="n">
        <x:f>Z20/$B20</x:f>
        <x:v>0.2011173184357542</x:v>
      </x:c>
      <x:c r="K20" s="41" t="n">
        <x:f>AA20/$B20</x:f>
        <x:v>0.24022346368715083</x:v>
      </x:c>
      <x:c r="L20" s="41"/>
      <x:c r="M20" s="41"/>
      <x:c r="N20" s="41"/>
      <x:c r="O20" s="41"/>
      <x:c r="P20" s="2"/>
      <x:c r="Q20" s="9" t="d">
        <x:v>2011-03-01T00:00:00.000Z</x:v>
      </x:c>
      <x:c r="R20" s="2" t="n">
        <x:v>179</x:v>
      </x:c>
      <x:c r="S20" s="2" t="n">
        <x:v>179</x:v>
      </x:c>
      <x:c r="T20" s="2" t="n">
        <x:v>32</x:v>
      </x:c>
      <x:c r="U20" s="2" t="n">
        <x:v>39</x:v>
      </x:c>
      <x:c r="V20" s="2" t="n">
        <x:v>36</x:v>
      </x:c>
      <x:c r="W20" s="2" t="n">
        <x:v>40</x:v>
      </x:c>
      <x:c r="X20" s="2" t="n">
        <x:v>27</x:v>
      </x:c>
      <x:c r="Y20" s="2" t="n">
        <x:v>37</x:v>
      </x:c>
      <x:c r="Z20" s="2" t="n">
        <x:v>36</x:v>
      </x:c>
      <x:c r="AA20" s="2" t="n">
        <x:v>43</x:v>
      </x:c>
      <x:c r="AB20" s="2"/>
      <x:c r="AC20" s="2"/>
      <x:c r="AD20" s="2"/>
      <x:c r="AE20" s="2"/>
    </x:row>
    <x:row r="21" ht="23" customHeight="1">
      <x:c r="A21" s="9" t="d">
        <x:v>2011-04-01T00:00:00.000Z</x:v>
      </x:c>
      <x:c r="B21" s="13" t="n">
        <x:v>106</x:v>
      </x:c>
      <x:c r="C21" s="41" t="n">
        <x:f>S21/$B21</x:f>
        <x:v>1</x:v>
      </x:c>
      <x:c r="D21" s="41" t="n">
        <x:f>T21/$B21</x:f>
        <x:v>0.24528301886792453</x:v>
      </x:c>
      <x:c r="E21" s="41" t="n">
        <x:f>U21/$B21</x:f>
        <x:v>0.19811320754716982</x:v>
      </x:c>
      <x:c r="F21" s="41" t="n">
        <x:f>V21/$B21</x:f>
        <x:v>0.19811320754716982</x:v>
      </x:c>
      <x:c r="G21" s="41" t="n">
        <x:f>W21/$B21</x:f>
        <x:v>0.1792452830188679</x:v>
      </x:c>
      <x:c r="H21" s="41" t="n">
        <x:f>X21/$B21</x:f>
        <x:v>0.2358490566037736</x:v>
      </x:c>
      <x:c r="I21" s="41" t="n">
        <x:f>Y21/$B21</x:f>
        <x:v>0.1792452830188679</x:v>
      </x:c>
      <x:c r="J21" s="41" t="n">
        <x:f>Z21/$B21</x:f>
        <x:v>0.25471698113207547</x:v>
      </x:c>
      <x:c r="K21" s="41"/>
      <x:c r="L21" s="41"/>
      <x:c r="M21" s="41"/>
      <x:c r="N21" s="41"/>
      <x:c r="O21" s="41"/>
      <x:c r="P21" s="2"/>
      <x:c r="Q21" s="9" t="d">
        <x:v>2011-04-01T00:00:00.000Z</x:v>
      </x:c>
      <x:c r="R21" s="2" t="n">
        <x:v>106</x:v>
      </x:c>
      <x:c r="S21" s="2" t="n">
        <x:v>106</x:v>
      </x:c>
      <x:c r="T21" s="2" t="n">
        <x:v>26</x:v>
      </x:c>
      <x:c r="U21" s="2" t="n">
        <x:v>21</x:v>
      </x:c>
      <x:c r="V21" s="2" t="n">
        <x:v>21</x:v>
      </x:c>
      <x:c r="W21" s="2" t="n">
        <x:v>19</x:v>
      </x:c>
      <x:c r="X21" s="2" t="n">
        <x:v>25</x:v>
      </x:c>
      <x:c r="Y21" s="2" t="n">
        <x:v>19</x:v>
      </x:c>
      <x:c r="Z21" s="2" t="n">
        <x:v>27</x:v>
      </x:c>
      <x:c r="AA21" s="2"/>
      <x:c r="AB21" s="2"/>
      <x:c r="AC21" s="2"/>
      <x:c r="AD21" s="2"/>
      <x:c r="AE21" s="2"/>
    </x:row>
    <x:row r="22" ht="23" customHeight="1">
      <x:c r="A22" s="9" t="d">
        <x:v>2011-05-01T00:00:00.000Z</x:v>
      </x:c>
      <x:c r="B22" s="13" t="n">
        <x:v>111</x:v>
      </x:c>
      <x:c r="C22" s="41" t="n">
        <x:f>S22/$B22</x:f>
        <x:v>1</x:v>
      </x:c>
      <x:c r="D22" s="41" t="n">
        <x:f>T22/$B22</x:f>
        <x:v>0.23423423423423423</x:v>
      </x:c>
      <x:c r="E22" s="41" t="n">
        <x:f>U22/$B22</x:f>
        <x:v>0.24324324324324326</x:v>
      </x:c>
      <x:c r="F22" s="41" t="n">
        <x:f>V22/$B22</x:f>
        <x:v>0.16216216216216217</x:v>
      </x:c>
      <x:c r="G22" s="41" t="n">
        <x:f>W22/$B22</x:f>
        <x:v>0.21621621621621623</x:v>
      </x:c>
      <x:c r="H22" s="41" t="n">
        <x:f>X22/$B22</x:f>
        <x:v>0.2072072072072072</x:v>
      </x:c>
      <x:c r="I22" s="41" t="n">
        <x:f>Y22/$B22</x:f>
        <x:v>0.26126126126126126</x:v>
      </x:c>
      <x:c r="J22" s="41"/>
      <x:c r="K22" s="41"/>
      <x:c r="L22" s="41"/>
      <x:c r="M22" s="41"/>
      <x:c r="N22" s="41"/>
      <x:c r="O22" s="41"/>
      <x:c r="P22" s="2"/>
      <x:c r="Q22" s="9" t="d">
        <x:v>2011-05-01T00:00:00.000Z</x:v>
      </x:c>
      <x:c r="R22" s="2" t="n">
        <x:v>111</x:v>
      </x:c>
      <x:c r="S22" s="2" t="n">
        <x:v>111</x:v>
      </x:c>
      <x:c r="T22" s="2" t="n">
        <x:v>26</x:v>
      </x:c>
      <x:c r="U22" s="2" t="n">
        <x:v>27</x:v>
      </x:c>
      <x:c r="V22" s="2" t="n">
        <x:v>18</x:v>
      </x:c>
      <x:c r="W22" s="2" t="n">
        <x:v>24</x:v>
      </x:c>
      <x:c r="X22" s="2" t="n">
        <x:v>23</x:v>
      </x:c>
      <x:c r="Y22" s="2" t="n">
        <x:v>29</x:v>
      </x:c>
      <x:c r="Z22" s="2"/>
      <x:c r="AA22" s="2"/>
      <x:c r="AB22" s="2"/>
      <x:c r="AC22" s="2"/>
      <x:c r="AD22" s="2"/>
      <x:c r="AE22" s="2"/>
    </x:row>
    <x:row r="23" ht="23" customHeight="1">
      <x:c r="A23" s="9" t="d">
        <x:v>2011-06-01T00:00:00.000Z</x:v>
      </x:c>
      <x:c r="B23" s="13" t="n">
        <x:v>108</x:v>
      </x:c>
      <x:c r="C23" s="41" t="n">
        <x:f>S23/$B23</x:f>
        <x:v>1</x:v>
      </x:c>
      <x:c r="D23" s="41" t="n">
        <x:f>T23/$B23</x:f>
        <x:v>0.23148148148148148</x:v>
      </x:c>
      <x:c r="E23" s="41" t="n">
        <x:f>U23/$B23</x:f>
        <x:v>0.21296296296296297</x:v>
      </x:c>
      <x:c r="F23" s="41" t="n">
        <x:f>V23/$B23</x:f>
        <x:v>0.26851851851851855</x:v>
      </x:c>
      <x:c r="G23" s="41" t="n">
        <x:f>W23/$B23</x:f>
        <x:v>0.2037037037037037</x:v>
      </x:c>
      <x:c r="H23" s="41" t="n">
        <x:f>X23/$B23</x:f>
        <x:v>0.2777777777777778</x:v>
      </x:c>
      <x:c r="I23" s="41"/>
      <x:c r="J23" s="41"/>
      <x:c r="K23" s="41"/>
      <x:c r="L23" s="41"/>
      <x:c r="M23" s="41"/>
      <x:c r="N23" s="41"/>
      <x:c r="O23" s="41"/>
      <x:c r="P23" s="2"/>
      <x:c r="Q23" s="9" t="d">
        <x:v>2011-06-01T00:00:00.000Z</x:v>
      </x:c>
      <x:c r="R23" s="2" t="n">
        <x:v>108</x:v>
      </x:c>
      <x:c r="S23" s="2" t="n">
        <x:v>108</x:v>
      </x:c>
      <x:c r="T23" s="2" t="n">
        <x:v>25</x:v>
      </x:c>
      <x:c r="U23" s="2" t="n">
        <x:v>23</x:v>
      </x:c>
      <x:c r="V23" s="2" t="n">
        <x:v>29</x:v>
      </x:c>
      <x:c r="W23" s="2" t="n">
        <x:v>22</x:v>
      </x:c>
      <x:c r="X23" s="2" t="n">
        <x:v>30</x:v>
      </x:c>
      <x:c r="Y23" s="2"/>
      <x:c r="Z23" s="2"/>
      <x:c r="AA23" s="2"/>
      <x:c r="AB23" s="2"/>
      <x:c r="AC23" s="2"/>
      <x:c r="AD23" s="2"/>
      <x:c r="AE23" s="2"/>
    </x:row>
    <x:row r="24" ht="23" customHeight="1">
      <x:c r="A24" s="9" t="d">
        <x:v>2011-07-01T00:00:00.000Z</x:v>
      </x:c>
      <x:c r="B24" s="13" t="n">
        <x:v>101</x:v>
      </x:c>
      <x:c r="C24" s="41" t="n">
        <x:f>S24/$B24</x:f>
        <x:v>1</x:v>
      </x:c>
      <x:c r="D24" s="41" t="n">
        <x:f>T24/$B24</x:f>
        <x:v>0.2079207920792079</x:v>
      </x:c>
      <x:c r="E24" s="41" t="n">
        <x:f>U24/$B24</x:f>
        <x:v>0.297029702970297</x:v>
      </x:c>
      <x:c r="F24" s="41" t="n">
        <x:f>V24/$B24</x:f>
        <x:v>0.27722772277227725</x:v>
      </x:c>
      <x:c r="G24" s="41" t="n">
        <x:f>W24/$B24</x:f>
        <x:v>0.3465346534653465</x:v>
      </x:c>
      <x:c r="H24" s="41"/>
      <x:c r="I24" s="41"/>
      <x:c r="J24" s="41"/>
      <x:c r="K24" s="41"/>
      <x:c r="L24" s="41"/>
      <x:c r="M24" s="41"/>
      <x:c r="N24" s="41"/>
      <x:c r="O24" s="41"/>
      <x:c r="P24" s="2"/>
      <x:c r="Q24" s="9" t="d">
        <x:v>2011-07-01T00:00:00.000Z</x:v>
      </x:c>
      <x:c r="R24" s="2" t="n">
        <x:v>101</x:v>
      </x:c>
      <x:c r="S24" s="2" t="n">
        <x:v>101</x:v>
      </x:c>
      <x:c r="T24" s="2" t="n">
        <x:v>21</x:v>
      </x:c>
      <x:c r="U24" s="2" t="n">
        <x:v>30</x:v>
      </x:c>
      <x:c r="V24" s="2" t="n">
        <x:v>28</x:v>
      </x:c>
      <x:c r="W24" s="2" t="n">
        <x:v>35</x:v>
      </x:c>
      <x:c r="X24" s="2"/>
      <x:c r="Y24" s="2"/>
      <x:c r="Z24" s="2"/>
      <x:c r="AA24" s="2"/>
      <x:c r="AB24" s="2"/>
      <x:c r="AC24" s="2"/>
      <x:c r="AD24" s="2"/>
      <x:c r="AE24" s="2"/>
    </x:row>
    <x:row r="25" ht="23" customHeight="1">
      <x:c r="A25" s="9" t="d">
        <x:v>2011-08-01T00:00:00.000Z</x:v>
      </x:c>
      <x:c r="B25" s="13" t="n">
        <x:v>107</x:v>
      </x:c>
      <x:c r="C25" s="41" t="n">
        <x:f>S25/$B25</x:f>
        <x:v>1</x:v>
      </x:c>
      <x:c r="D25" s="41" t="n">
        <x:f>T25/$B25</x:f>
        <x:v>0.2616822429906542</x:v>
      </x:c>
      <x:c r="E25" s="41" t="n">
        <x:f>U25/$B25</x:f>
        <x:v>0.29906542056074764</x:v>
      </x:c>
      <x:c r="F25" s="41" t="n">
        <x:f>V25/$B25</x:f>
        <x:v>0.2616822429906542</x:v>
      </x:c>
      <x:c r="G25" s="41"/>
      <x:c r="H25" s="41"/>
      <x:c r="I25" s="41"/>
      <x:c r="J25" s="41"/>
      <x:c r="K25" s="41"/>
      <x:c r="L25" s="41"/>
      <x:c r="M25" s="41"/>
      <x:c r="N25" s="41"/>
      <x:c r="O25" s="41"/>
      <x:c r="P25" s="2"/>
      <x:c r="Q25" s="9" t="d">
        <x:v>2011-08-01T00:00:00.000Z</x:v>
      </x:c>
      <x:c r="R25" s="2" t="n">
        <x:v>107</x:v>
      </x:c>
      <x:c r="S25" s="2" t="n">
        <x:v>107</x:v>
      </x:c>
      <x:c r="T25" s="2" t="n">
        <x:v>28</x:v>
      </x:c>
      <x:c r="U25" s="2" t="n">
        <x:v>32</x:v>
      </x:c>
      <x:c r="V25" s="2" t="n">
        <x:v>28</x:v>
      </x:c>
      <x:c r="W25" s="2"/>
      <x:c r="X25" s="2"/>
      <x:c r="Y25" s="2"/>
      <x:c r="Z25" s="2"/>
      <x:c r="AA25" s="2"/>
      <x:c r="AB25" s="2"/>
      <x:c r="AC25" s="2"/>
      <x:c r="AD25" s="2"/>
      <x:c r="AE25" s="2"/>
    </x:row>
    <x:row r="26" ht="23" customHeight="1">
      <x:c r="A26" s="9" t="d">
        <x:v>2011-09-01T00:00:00.000Z</x:v>
      </x:c>
      <x:c r="B26" s="13" t="n">
        <x:v>188</x:v>
      </x:c>
      <x:c r="C26" s="41" t="n">
        <x:f>S26/$B26</x:f>
        <x:v>1</x:v>
      </x:c>
      <x:c r="D26" s="41" t="n">
        <x:f>T26/$B26</x:f>
        <x:v>0.2712765957446808</x:v>
      </x:c>
      <x:c r="E26" s="41" t="n">
        <x:f>U26/$B26</x:f>
        <x:v>0.3776595744680851</x:v>
      </x:c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2"/>
      <x:c r="Q26" s="9" t="d">
        <x:v>2011-09-01T00:00:00.000Z</x:v>
      </x:c>
      <x:c r="R26" s="2" t="n">
        <x:v>188</x:v>
      </x:c>
      <x:c r="S26" s="2" t="n">
        <x:v>188</x:v>
      </x:c>
      <x:c r="T26" s="2" t="n">
        <x:v>51</x:v>
      </x:c>
      <x:c r="U26" s="2" t="n">
        <x:v>71</x:v>
      </x:c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</x:row>
    <x:row r="27" ht="23" customHeight="1">
      <x:c r="A27" s="9" t="d">
        <x:v>2011-10-01T00:00:00.000Z</x:v>
      </x:c>
      <x:c r="B27" s="13" t="n">
        <x:v>221</x:v>
      </x:c>
      <x:c r="C27" s="41" t="n">
        <x:f>S27/$B27</x:f>
        <x:v>1</x:v>
      </x:c>
      <x:c r="D27" s="41" t="n">
        <x:f>T27/$B27</x:f>
        <x:v>0.3167420814479638</x:v>
      </x:c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2"/>
      <x:c r="Q27" s="9" t="d">
        <x:v>2011-10-01T00:00:00.000Z</x:v>
      </x:c>
      <x:c r="R27" s="2" t="n">
        <x:v>221</x:v>
      </x:c>
      <x:c r="S27" s="2" t="n">
        <x:v>221</x:v>
      </x:c>
      <x:c r="T27" s="2" t="n">
        <x:v>70</x:v>
      </x:c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</x:row>
    <x:row r="28" ht="23" customHeight="1">
      <x:c r="A28" s="9" t="d">
        <x:v>2011-11-01T00:00:00.000Z</x:v>
      </x:c>
      <x:c r="B28" s="13" t="n">
        <x:v>191</x:v>
      </x:c>
      <x:c r="C28" s="41" t="n">
        <x:f>S28/$B28</x:f>
        <x:v>1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2"/>
      <x:c r="Q28" s="9" t="d">
        <x:v>2011-11-01T00:00:00.000Z</x:v>
      </x:c>
      <x:c r="R28" s="2" t="n">
        <x:v>191</x:v>
      </x:c>
      <x:c r="S28" s="2" t="n">
        <x:v>191</x:v>
      </x:c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</x:row>
  </x:sheetData>
  <x:conditionalFormatting sqref="C5:O28">
    <x:cfRule type="colorScale" priority="1">
      <x:colorScale>
        <x:cfvo type="min"/>
        <x:cfvo type="num" val="0.5"/>
        <x:cfvo type="max"/>
        <x:color rgb="FFEDF2FC"/>
        <x:color rgb="FFAAC1F0"/>
        <x:color rgb="FF2155CD"/>
      </x:colorScale>
    </x:cfRule>
    <x:cfRule type="cellIs" dxfId="0" priority="2" operator="greaterThan">
      <x:formula>0.65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00" hidden="0" customWidth="1"/>
  </x:cols>
  <x:sheetData>
    <x:row r="1" ht="23" customHeight="1">
      <x:c r="A1" s="2"/>
      <x:c r="B1" s="2"/>
    </x:row>
    <x:row r="2" ht="30" customHeight="1">
      <x:c r="A2" s="3" t="str">
        <x:v>Data quality and provenance</x:v>
      </x:c>
      <x:c r="B2" s="2"/>
    </x:row>
    <x:row r="3" ht="23" customHeight="1">
      <x:c r="A3" s="2"/>
      <x:c r="B3" s="2"/>
    </x:row>
    <x:row r="4" ht="30" customHeight="1">
      <x:c r="A4" s="8" t="str">
        <x:v>Source population</x:v>
      </x:c>
      <x:c r="B4" s="8" t="str">
        <x:v>Rows</x:v>
      </x:c>
    </x:row>
    <x:row r="5" ht="23" customHeight="1">
      <x:c r="A5" s="2" t="str">
        <x:v>Original rows</x:v>
      </x:c>
      <x:c r="B5" s="13" t="n">
        <x:v>1067371</x:v>
      </x:c>
    </x:row>
    <x:row r="6" ht="23" customHeight="1">
      <x:c r="A6" s="2" t="str">
        <x:v>Retained lines</x:v>
      </x:c>
      <x:c r="B6" s="13" t="n">
        <x:v>1021128</x:v>
      </x:c>
    </x:row>
    <x:row r="7" ht="23" customHeight="1">
      <x:c r="A7" s="2" t="str">
        <x:v>Excluded rows</x:v>
      </x:c>
      <x:c r="B7" s="13" t="n">
        <x:f>B5-B6</x:f>
        <x:v>46243</x:v>
      </x:c>
    </x:row>
    <x:row r="8" ht="23" customHeight="1">
      <x:c r="A8" s="2"/>
      <x:c r="B8" s="2"/>
    </x:row>
    <x:row r="9" ht="30" customHeight="1">
      <x:c r="A9" s="8" t="str">
        <x:v>Disposition</x:v>
      </x:c>
      <x:c r="B9" s="8" t="str">
        <x:v>Rows</x:v>
      </x:c>
    </x:row>
    <x:row r="10" ht="23" customHeight="1">
      <x:c r="A10" s="2" t="str">
        <x:v>duplicate</x:v>
      </x:c>
      <x:c r="B10" s="13" t="n">
        <x:v>34335</x:v>
      </x:c>
    </x:row>
    <x:row r="11" ht="23" customHeight="1">
      <x:c r="A11" s="2" t="str">
        <x:v>non merchandise code</x:v>
      </x:c>
      <x:c r="B11" s="13" t="n">
        <x:v>5980</x:v>
      </x:c>
    </x:row>
    <x:row r="12" ht="23" customHeight="1">
      <x:c r="A12" s="2" t="str">
        <x:v>nonpositive price</x:v>
      </x:c>
      <x:c r="B12" s="13" t="n">
        <x:v>5928</x:v>
      </x:c>
    </x:row>
    <x:row r="13" ht="23" customHeight="1">
      <x:c r="A13" s="2" t="str">
        <x:v>retained</x:v>
      </x:c>
      <x:c r="B13" s="13" t="n">
        <x:v>1021128</x:v>
      </x:c>
    </x:row>
    <x:row r="14" ht="23" customHeight="1">
      <x:c r="A14" s="2"/>
      <x:c r="B14" s="2"/>
    </x:row>
    <x:row r="15" ht="23" customHeight="1">
      <x:c r="A15" s="2"/>
      <x:c r="B15" s="2"/>
    </x:row>
    <x:row r="16" ht="23" customHeight="1">
      <x:c r="A16" s="2" t="str">
        <x:v>Period start</x:v>
      </x:c>
      <x:c r="B16" s="42" t="d">
        <x:v>2009-12-01T07:45:00.000Z</x:v>
      </x:c>
    </x:row>
    <x:row r="17" ht="23" customHeight="1">
      <x:c r="A17" s="2" t="str">
        <x:v>Period end</x:v>
      </x:c>
      <x:c r="B17" s="42" t="d">
        <x:v>2011-12-09T12:49:59.999Z</x:v>
      </x:c>
    </x:row>
    <x:row r="18" ht="23" customHeight="1">
      <x:c r="A18" s="2" t="str">
        <x:v>Snapshot date</x:v>
      </x:c>
      <x:c r="B18" s="42" t="d">
        <x:v>2011-12-10T00:00:00.000Z</x:v>
      </x:c>
    </x:row>
    <x:row r="19" ht="23" customHeight="1">
      <x:c r="A19" s="2" t="str">
        <x:v>Source</x:v>
      </x:c>
      <x:c r="B19" s="43" t="str">
        <x:v>Chen, D. (2012). Online Retail II. UCI Machine Learning Repository. CC BY 4.0.</x:v>
      </x:c>
    </x:row>
    <x:row r="20" ht="23" customHeight="1">
      <x:c r="A20" s="2" t="str">
        <x:v>Source URL</x:v>
      </x:c>
      <x:c r="B20" s="43" t="str">
        <x:v>https://archive.ics.uci.edu/dataset/502/online+retail+ii</x:v>
      </x:c>
    </x:row>
    <x:row r="21" ht="23" customHeight="1">
      <x:c r="A21" s="2" t="str">
        <x:v>SHA-256</x:v>
      </x:c>
      <x:c r="B21" s="43" t="str">
        <x:v>bcbe73b35f5b7babf197fb0cb983a11f5d9ff929078d4aa53d171b1f2df2e980</x:v>
      </x:c>
    </x:row>
    <x:row r="22" ht="23" customHeight="1">
      <x:c r="A22" s="2" t="str">
        <x:v>Raw workbook sheets</x:v>
      </x:c>
      <x:c r="B22" s="43" t="str">
        <x:v>Year 2009-2010: 525,461; Year 2010-2011: 541,910</x:v>
      </x:c>
    </x:row>
    <x:row r="23" ht="36" customHeight="1">
      <x:c r="A23" s="2" t="str">
        <x:v>Cleaning assumption</x:v>
      </x:c>
      <x:c r="B23" s="43" t="str">
        <x:v>Exact duplicate lines removed. Identical legitimate lines cannot be ruled out.</x:v>
      </x:c>
    </x:row>
    <x:row r="24" ht="23" customHeight="1">
      <x:c r="A24" s="2"/>
      <x:c r="B24" s="2"/>
    </x:row>
    <x:row r="25" ht="36" customHeight="1">
      <x:c r="A25" s="2" t="str">
        <x:v>Sales scope</x:v>
      </x:c>
      <x:c r="B25" s="43" t="str">
        <x:v>Merchandise codes only. Returns retained. All figures are GBP.</x:v>
      </x:c>
    </x:row>
    <x:row r="26" ht="36" customHeight="1">
      <x:c r="A26" s="2" t="str">
        <x:v>Workbook refresh</x:v>
      </x:c>
      <x:c r="B26" s="43" t="str">
        <x:v>Summary snapshot. Replace supporting table inputs to refresh formulas. See docs/EXCEL_REFRESH.md.</x:v>
      </x:c>
    </x:row>
    <x:row r="27" ht="23" customHeight="1">
      <x:c r="A27" s="2"/>
      <x:c r="B27" s="2"/>
    </x:row>
  </x:sheetData>
  <x:pageMargins left="0.7" right="0.7" top="0.75" bottom="0.75" header="0.3" footer="0.3"/>
</x:worksheet>
</file>